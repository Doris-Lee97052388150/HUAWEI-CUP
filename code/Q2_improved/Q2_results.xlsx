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cc40f5c3b4e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对比" sheetId="1" r:id="Redd3c97568af4dc9"/>
    <x:sheet xmlns:r="http://schemas.openxmlformats.org/officeDocument/2006/relationships" name="运输架次" sheetId="2" r:id="R0a9055ce4cb54d54"/>
    <x:sheet xmlns:r="http://schemas.openxmlformats.org/officeDocument/2006/relationships" name="逐箱交付" sheetId="3" r:id="R89b333c39c7f4afa"/>
    <x:sheet xmlns:r="http://schemas.openxmlformats.org/officeDocument/2006/relationships" name="电池周转" sheetId="4" r:id="Rc719a4c3d6ec4c6d"/>
    <x:sheet xmlns:r="http://schemas.openxmlformats.org/officeDocument/2006/relationships" name="航段复算" sheetId="5" r:id="R81b1dae4ea214a20"/>
    <x:sheet xmlns:r="http://schemas.openxmlformats.org/officeDocument/2006/relationships" name="停点交接" sheetId="6" r:id="R04bbe0053ca04e84"/>
    <x:sheet xmlns:r="http://schemas.openxmlformats.org/officeDocument/2006/relationships" name="资源核查" sheetId="7" r:id="R4cbdd41c5e4647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@"/>
    <x:numFmt numFmtId="202" formatCode="0.00%"/>
    <x:numFmt numFmtId="203" formatCode="0"/>
  </x:numFmts>
  <x:fonts count="5">
    <x:font>
      <x:sz val="11"/>
      <x:name val="Carlito"/>
    </x:font>
    <x:font>
      <x:sz val="10"/>
      <x:name val="Noto Sans CJK SC"/>
    </x:font>
    <x:font>
      <x:b/>
      <x:sz val="10"/>
      <x:color rgb="FFFFFFFF"/>
      <x:name val="Noto Sans CJK SC"/>
    </x:font>
    <x:font>
      <x:b/>
      <x:sz val="15"/>
      <x:name val="Noto Sans CJK SC"/>
    </x:font>
    <x:font>
      <x:b/>
      <x:sz val="10"/>
      <x:name val="Noto Sans CJK SC"/>
    </x:font>
  </x:fonts>
  <x:fills count="5">
    <x:fill>
      <x:patternFill patternType="none"/>
    </x:fill>
    <x:fill>
      <x:patternFill patternType="gray125"/>
    </x:fill>
    <x:fill>
      <x:patternFill patternType="solid">
        <x:fgColor rgb="FF174E66"/>
      </x:patternFill>
    </x:fill>
    <x:fill>
      <x:patternFill patternType="solid">
        <x:fgColor rgb="FFF0F6F7"/>
      </x:patternFill>
    </x:fill>
    <x:fill>
      <x:patternFill patternType="solid">
        <x:fgColor rgb="FFDEEEEC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0" borderId="0" xfId="0" applyNumberFormat="1" applyFont="1" applyFill="1" applyBorder="1"/>
    <x:xf numFmtId="200" fontId="1" fillId="4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0" fontId="4" fillId="0" borderId="0" xfId="0" applyNumberFormat="1" applyFont="1" applyFill="1" applyBorder="1"/>
    <x:xf numFmtId="202" fontId="1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1eb2805ad44810" /><Relationship Type="http://schemas.openxmlformats.org/officeDocument/2006/relationships/theme" Target="/xl/theme/theme1.xml" Id="R1211d8a0c9ca4ff0" /><Relationship Type="http://schemas.microsoft.com/office/2022/11/relationships/FeaturePropertyBag" Target="/xl/featurePropertyBag/featurePropertyBag.xml" Id="Rc80b308cb2184c82" /><Relationship Type="http://schemas.openxmlformats.org/officeDocument/2006/relationships/sharedStrings" Target="/xl/sharedStrings.xml" Id="R5b1a8d7cea124008" /><Relationship Type="http://schemas.openxmlformats.org/officeDocument/2006/relationships/worksheet" Target="/xl/worksheets/sheet1.xml" Id="Redd3c97568af4dc9" /><Relationship Type="http://schemas.openxmlformats.org/officeDocument/2006/relationships/worksheet" Target="/xl/worksheets/sheet2.xml" Id="R0a9055ce4cb54d54" /><Relationship Type="http://schemas.openxmlformats.org/officeDocument/2006/relationships/worksheet" Target="/xl/worksheets/sheet3.xml" Id="R89b333c39c7f4afa" /><Relationship Type="http://schemas.openxmlformats.org/officeDocument/2006/relationships/worksheet" Target="/xl/worksheets/sheet4.xml" Id="Rc719a4c3d6ec4c6d" /><Relationship Type="http://schemas.openxmlformats.org/officeDocument/2006/relationships/worksheet" Target="/xl/worksheets/sheet5.xml" Id="R81b1dae4ea214a20" /><Relationship Type="http://schemas.openxmlformats.org/officeDocument/2006/relationships/worksheet" Target="/xl/worksheets/sheet6.xml" Id="R04bbe0053ca04e84" /><Relationship Type="http://schemas.openxmlformats.org/officeDocument/2006/relationships/worksheet" Target="/xl/worksheets/sheet7.xml" Id="R4cbdd41c5e4647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8fd08f9367b66b21" displayName="T_8fd08f9367b66b21" ref="A1:L21" headerRowCount="1" totalsRowCount="0" totalsRowShown="0">
  <x:tableColumns count="12">
    <x:tableColumn id="1" name="架次编号"/>
    <x:tableColumn id="2" name="无人机编号"/>
    <x:tableColumn id="3" name="机型编号"/>
    <x:tableColumn id="4" name="电池编号"/>
    <x:tableColumn id="5" name="开始时刻（s）"/>
    <x:tableColumn id="6" name="访问服务区顺序"/>
    <x:tableColumn id="7" name="返回O01时刻（s）"/>
    <x:tableColumn id="8" name="架次能耗（kWh）"/>
    <x:tableColumn id="9" name="起飞时刻（s）"/>
    <x:tableColumn id="10" name="返航SOC"/>
    <x:tableColumn id="11" name="充电完成时刻（s）"/>
    <x:tableColumn id="12" name="箱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90107bb14ea44ed8" displayName="T_90107bb14ea44ed8" ref="A1:N81" headerRowCount="1" totalsRowCount="0" totalsRowShown="0">
  <x:tableColumns count="14">
    <x:tableColumn id="1" name="货箱编号"/>
    <x:tableColumn id="2" name="架次编号"/>
    <x:tableColumn id="3" name="服务区编号"/>
    <x:tableColumn id="4" name="交付完成时刻（s）"/>
    <x:tableColumn id="5" name="物资类型"/>
    <x:tableColumn id="6" name="质量（kg）"/>
    <x:tableColumn id="7" name="体积（m3）"/>
    <x:tableColumn id="8" name="期望时刻（s）"/>
    <x:tableColumn id="9" name="硬截止（s）"/>
    <x:tableColumn id="10" name="优先系数"/>
    <x:tableColumn id="11" name="迟到秒数"/>
    <x:tableColumn id="12" name="加权迟到"/>
    <x:tableColumn id="13" name="是否首批"/>
    <x:tableColumn id="14" name="硬时限违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75356c604f7f7528" displayName="T_75356c604f7f7528" ref="A1:K21" headerRowCount="1" totalsRowCount="0" totalsRowShown="0">
  <x:tableColumns count="11">
    <x:tableColumn id="1" name="电池编号"/>
    <x:tableColumn id="2" name="机型"/>
    <x:tableColumn id="3" name="架次"/>
    <x:tableColumn id="4" name="无人机"/>
    <x:tableColumn id="5" name="任务开始（s）"/>
    <x:tableColumn id="6" name="任务结束（s）"/>
    <x:tableColumn id="7" name="起始SOC"/>
    <x:tableColumn id="8" name="返航SOC"/>
    <x:tableColumn id="9" name="充电开始（s）"/>
    <x:tableColumn id="10" name="充电结束（s）"/>
    <x:tableColumn id="11" name="充电时长（s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822a6bb58be660c5" displayName="T_822a6bb58be660c5" ref="A1:N43" headerRowCount="1" totalsRowCount="0" totalsRowShown="0">
  <x:tableColumns count="14">
    <x:tableColumn id="1" name="架次"/>
    <x:tableColumn id="2" name="起点"/>
    <x:tableColumn id="3" name="终点"/>
    <x:tableColumn id="4" name="剩余载荷（kg）"/>
    <x:tableColumn id="5" name="剩余体积（m3）"/>
    <x:tableColumn id="6" name="水平距离（m）"/>
    <x:tableColumn id="7" name="DEM最高（m）"/>
    <x:tableColumn id="8" name="巡航海拔（m）"/>
    <x:tableColumn id="9" name="爬升（m）"/>
    <x:tableColumn id="10" name="下降（m）"/>
    <x:tableColumn id="11" name="航段开始（s）"/>
    <x:tableColumn id="12" name="航段结束（s）"/>
    <x:tableColumn id="13" name="飞行时间（s）"/>
    <x:tableColumn id="14" name="能耗（kWh）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505c70b94ea463a5" displayName="T_505c70b94ea463a5" ref="A1:E23" headerRowCount="1" totalsRowCount="0" totalsRowShown="0">
  <x:tableColumns count="5">
    <x:tableColumn id="1" name="架次"/>
    <x:tableColumn id="2" name="服务区"/>
    <x:tableColumn id="3" name="到达（s）"/>
    <x:tableColumn id="4" name="交接完成（s）"/>
    <x:tableColumn id="5" name="交付货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a68212d4b84e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601d12ef634e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5f7b3c71c549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9f86c70df04a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f91aa859f548f6" /></Relationships>
</file>

<file path=xl/worksheets/sheet1.xml><?xml version="1.0" encoding="utf-8"?>
<x:worksheet xmlns:x="http://schemas.openxmlformats.org/spreadsheetml/2006/main">
  <x:sheetPr>
    <x:tabColor rgb="FF174E66"/>
  </x:sheetPr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6" customHeight="1">
      <x:c r="A1" s="1"/>
      <x:c r="B1" s="1"/>
      <x:c r="C1" s="1"/>
      <x:c r="D1" s="1"/>
      <x:c r="E1" s="1"/>
      <x:c r="F1" s="1"/>
      <x:c r="G1" s="1"/>
    </x:row>
    <x:row r="2" ht="26" customHeight="1">
      <x:c r="A2" s="23" t="str">
        <x:v>问题二调度方案对比</x:v>
      </x:c>
      <x:c r="B2" s="1"/>
      <x:c r="C2" s="1"/>
      <x:c r="D2" s="1"/>
      <x:c r="E2" s="1"/>
      <x:c r="F2" s="1"/>
      <x:c r="G2" s="1"/>
    </x:row>
    <x:row r="3" ht="26" customHeight="1">
      <x:c r="A3" s="1"/>
      <x:c r="B3" s="1"/>
      <x:c r="C3" s="1"/>
      <x:c r="D3" s="1"/>
      <x:c r="E3" s="1"/>
      <x:c r="F3" s="1"/>
      <x:c r="G3" s="1"/>
    </x:row>
    <x:row r="4" ht="32" customHeight="1">
      <x:c r="A4" s="26" t="str">
        <x:v>方案</x:v>
      </x:c>
      <x:c r="B4" s="26" t="str">
        <x:v>架次</x:v>
      </x:c>
      <x:c r="C4" s="26" t="str">
        <x:v>最晚返航/min</x:v>
      </x:c>
      <x:c r="D4" s="26" t="str">
        <x:v>能耗/kWh</x:v>
      </x:c>
      <x:c r="E4" s="26" t="str">
        <x:v>加权迟到</x:v>
      </x:c>
      <x:c r="F4" s="26" t="str">
        <x:v>按期箱数</x:v>
      </x:c>
      <x:c r="G4" s="26" t="str">
        <x:v>硬时限违反</x:v>
      </x:c>
    </x:row>
    <x:row r="5" ht="26" customHeight="1">
      <x:c r="A5" s="1" t="str">
        <x:v>原ALNS统一地形</x:v>
      </x:c>
      <x:c r="B5" s="30" t="n">
        <x:v>20</x:v>
      </x:c>
      <x:c r="C5" s="28" t="n">
        <x:v>159.72159892090724</x:v>
      </x:c>
      <x:c r="D5" s="28" t="n">
        <x:v>64.51851581078398</x:v>
      </x:c>
      <x:c r="E5" s="28" t="n">
        <x:v>6.636877109159241</x:v>
      </x:c>
      <x:c r="F5" s="30" t="n">
        <x:v>77</x:v>
      </x:c>
      <x:c r="G5" s="30" t="n">
        <x:v>0</x:v>
      </x:c>
    </x:row>
    <x:row r="6" ht="26" customHeight="1">
      <x:c r="A6" s="27" t="str">
        <x:v>均衡</x:v>
      </x:c>
      <x:c r="B6" s="31" t="n">
        <x:f>COUNTA('运输架次'!A2:A21)</x:f>
        <x:v>20</x:v>
      </x:c>
      <x:c r="C6" s="29" t="n">
        <x:f>MAX('运输架次'!G2:G21)/60</x:f>
        <x:v>137.48200845885373</x:v>
      </x:c>
      <x:c r="D6" s="29" t="n">
        <x:f>SUM('运输架次'!H2:H21)</x:f>
        <x:v>61.896886714817576</x:v>
      </x:c>
      <x:c r="E6" s="29" t="n">
        <x:f>SUM('逐箱交付'!L2:L81)</x:f>
        <x:v>0</x:v>
      </x:c>
      <x:c r="F6" s="31" t="n">
        <x:f>COUNTIFS('逐箱交付'!K2:K81,0)</x:f>
        <x:v>80</x:v>
      </x:c>
      <x:c r="G6" s="31" t="n">
        <x:f>SUM('逐箱交付'!N2:N81)</x:f>
        <x:v>0</x:v>
      </x:c>
    </x:row>
    <x:row r="7" ht="26" customHeight="1">
      <x:c r="A7" s="1" t="str">
        <x:v>完工时间偏重</x:v>
      </x:c>
      <x:c r="B7" s="30" t="n">
        <x:v>20</x:v>
      </x:c>
      <x:c r="C7" s="28" t="n">
        <x:v>137.48200845885373</x:v>
      </x:c>
      <x:c r="D7" s="28" t="n">
        <x:v>61.896886714817576</x:v>
      </x:c>
      <x:c r="E7" s="28" t="n">
        <x:v>0</x:v>
      </x:c>
      <x:c r="F7" s="30" t="n">
        <x:v>80</x:v>
      </x:c>
      <x:c r="G7" s="30" t="n">
        <x:v>0</x:v>
      </x:c>
    </x:row>
    <x:row r="8" ht="26" customHeight="1">
      <x:c r="A8" s="1" t="str">
        <x:v>能耗偏重</x:v>
      </x:c>
      <x:c r="B8" s="30" t="n">
        <x:v>20</x:v>
      </x:c>
      <x:c r="C8" s="28" t="n">
        <x:v>137.48200845885373</x:v>
      </x:c>
      <x:c r="D8" s="28" t="n">
        <x:v>61.896886714817576</x:v>
      </x:c>
      <x:c r="E8" s="28" t="n">
        <x:v>0</x:v>
      </x:c>
      <x:c r="F8" s="30" t="n">
        <x:v>80</x:v>
      </x:c>
      <x:c r="G8" s="30" t="n">
        <x:v>0</x:v>
      </x:c>
    </x:row>
    <x:row r="9" ht="26" customHeight="1">
      <x:c r="A9" s="1" t="str">
        <x:v>架次偏重</x:v>
      </x:c>
      <x:c r="B9" s="30" t="n">
        <x:v>17</x:v>
      </x:c>
      <x:c r="C9" s="28" t="n">
        <x:v>155.2193026810782</x:v>
      </x:c>
      <x:c r="D9" s="28" t="n">
        <x:v>60.663635420753316</x:v>
      </x:c>
      <x:c r="E9" s="28" t="n">
        <x:v>7.204650699184071</x:v>
      </x:c>
      <x:c r="F9" s="30" t="n">
        <x:v>75</x:v>
      </x:c>
      <x:c r="G9" s="30" t="n">
        <x:v>0</x:v>
      </x:c>
    </x:row>
    <x:row r="10" ht="26" customHeight="1">
      <x:c r="A10" s="1"/>
      <x:c r="B10" s="1"/>
      <x:c r="C10" s="1"/>
      <x:c r="D10" s="1"/>
      <x:c r="E10" s="1"/>
      <x:c r="F10" s="1"/>
      <x:c r="G10" s="1"/>
    </x:row>
    <x:row r="11" ht="26" customHeight="1">
      <x:c r="A11" s="1"/>
      <x:c r="B11" s="1"/>
      <x:c r="C11" s="1"/>
      <x:c r="D11" s="1"/>
      <x:c r="E11" s="1"/>
      <x:c r="F11" s="1"/>
      <x:c r="G11" s="1"/>
    </x:row>
    <x:row r="12" ht="26" customHeight="1">
      <x:c r="A12" s="32" t="str">
        <x:v>均衡方案改进比例</x:v>
      </x:c>
      <x:c r="B12" s="1"/>
      <x:c r="C12" s="1"/>
      <x:c r="D12" s="1"/>
      <x:c r="E12" s="1"/>
      <x:c r="F12" s="1"/>
      <x:c r="G12" s="1"/>
    </x:row>
    <x:row r="13" ht="26" customHeight="1">
      <x:c r="A13" s="1" t="str">
        <x:v>完工时间减少</x:v>
      </x:c>
      <x:c r="B13" s="33" t="n">
        <x:f>1-C6/C5</x:f>
        <x:v>0.13923971843699345</x:v>
      </x:c>
      <x:c r="C13" s="1"/>
      <x:c r="D13" s="1"/>
      <x:c r="E13" s="1"/>
      <x:c r="F13" s="1"/>
      <x:c r="G13" s="1"/>
    </x:row>
    <x:row r="14" ht="26" customHeight="1">
      <x:c r="A14" s="1" t="str">
        <x:v>能耗减少</x:v>
      </x:c>
      <x:c r="B14" s="33" t="n">
        <x:f>1-D6/D5</x:f>
        <x:v>0.04063374773925299</x:v>
      </x:c>
      <x:c r="C14" s="1"/>
      <x:c r="D14" s="1"/>
      <x:c r="E14" s="1"/>
      <x:c r="F14" s="1"/>
      <x:c r="G14" s="1"/>
    </x:row>
    <x:row r="15" ht="26" customHeight="1">
      <x:c r="A15" s="1" t="str">
        <x:v>返航最低SOC</x:v>
      </x:c>
      <x:c r="B15" s="33" t="n">
        <x:f>MIN('运输架次'!J2:J21)</x:f>
        <x:v>0.20971146120977946</x:v>
      </x:c>
      <x:c r="C15" s="1"/>
      <x:c r="D15" s="1"/>
      <x:c r="E15" s="1"/>
      <x:c r="F15" s="1"/>
      <x:c r="G15" s="1"/>
    </x:row>
    <x:row r="16" ht="26" customHeight="1">
      <x:c r="A16" s="1" t="str">
        <x:v>硬时限箱数</x:v>
      </x:c>
      <x:c r="B16" s="1" t="n">
        <x:v>31</x:v>
      </x:c>
      <x:c r="C16" s="1"/>
      <x:c r="D16" s="1"/>
      <x:c r="E16" s="1"/>
      <x:c r="F16" s="1"/>
      <x:c r="G16" s="1"/>
    </x:row>
    <x:row r="17" ht="26" customHeight="1">
      <x:c r="A17" s="1"/>
      <x:c r="B17" s="1"/>
      <x:c r="C17" s="1"/>
      <x:c r="D17" s="1"/>
      <x:c r="E17" s="1"/>
      <x:c r="F17" s="1"/>
      <x:c r="G17" s="1"/>
    </x:row>
    <x:row r="18" ht="26" customHeight="1">
      <x:c r="A18" s="1" t="str">
        <x:v>本表为已运行结果。权重变化需要重新运行求解器。</x:v>
      </x:c>
      <x:c r="B18" s="1"/>
      <x:c r="C18" s="1"/>
      <x:c r="D18" s="1"/>
      <x:c r="E18" s="1"/>
      <x:c r="F18" s="1"/>
      <x:c r="G18" s="1"/>
    </x:row>
    <x:row r="19" ht="26" customHeight="1">
      <x:c r="A19" s="1" t="str">
        <x:v>基线800次；改进每偏好2×500次加整数规划，计算预算不同。</x:v>
      </x:c>
      <x:c r="B19" s="1"/>
      <x:c r="C19" s="1"/>
      <x:c r="D19" s="1"/>
      <x:c r="E19" s="1"/>
      <x:c r="F19" s="1"/>
      <x:c r="G19" s="1"/>
    </x:row>
    <x:row r="20" ht="26" customHeight="1">
      <x:c r="A20" s="1" t="str">
        <x:v>均衡、时间和能耗三组偏好本次选择相同方案。</x:v>
      </x:c>
      <x:c r="B20" s="1"/>
      <x:c r="C20" s="1"/>
      <x:c r="D20" s="1"/>
      <x:c r="E20" s="1"/>
      <x:c r="F20" s="1"/>
      <x:c r="G20" s="1"/>
    </x:row>
    <x:row r="21" ht="26" customHeight="1">
      <x:c r="A21" s="1" t="str">
        <x:v>未证明原连续时间问题全局最优。</x:v>
      </x:c>
      <x:c r="B21" s="1"/>
      <x:c r="C21" s="1"/>
      <x:c r="D21" s="1"/>
      <x:c r="E21" s="1"/>
      <x:c r="F21" s="1"/>
      <x:c r="G21" s="1"/>
    </x:row>
    <x:row r="22" ht="26" customHeight="1">
      <x:c r="A22" s="1"/>
      <x:c r="B22" s="1"/>
      <x:c r="C22" s="1"/>
      <x:c r="D22" s="1"/>
      <x:c r="E22" s="1"/>
      <x:c r="F22" s="1"/>
      <x:c r="G22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40" customHeight="1">
      <x:c r="A1" s="7" t="str">
        <x:v>架次编号</x:v>
      </x:c>
      <x:c r="B1" s="7" t="str">
        <x:v>无人机编号</x:v>
      </x:c>
      <x:c r="C1" s="7" t="str">
        <x:v>机型编号</x:v>
      </x:c>
      <x:c r="D1" s="7" t="str">
        <x:v>电池编号</x:v>
      </x:c>
      <x:c r="E1" s="7" t="str">
        <x:v>开始时刻（s）</x:v>
      </x:c>
      <x:c r="F1" s="7" t="str">
        <x:v>访问服务区顺序</x:v>
      </x:c>
      <x:c r="G1" s="7" t="str">
        <x:v>返回O01时刻（s）</x:v>
      </x:c>
      <x:c r="H1" s="7" t="str">
        <x:v>架次能耗（kWh）</x:v>
      </x:c>
      <x:c r="I1" s="7" t="str">
        <x:v>起飞时刻（s）</x:v>
      </x:c>
      <x:c r="J1" s="7" t="str">
        <x:v>返航SOC</x:v>
      </x:c>
      <x:c r="K1" s="7" t="str">
        <x:v>充电完成时刻（s）</x:v>
      </x:c>
      <x:c r="L1" s="7" t="str">
        <x:v>箱数</x:v>
      </x:c>
    </x:row>
    <x:row r="2" ht="23" customHeight="1">
      <x:c r="A2" s="9" t="str">
        <x:v>Q2T001</x:v>
      </x:c>
      <x:c r="B2" s="3" t="str">
        <x:v>U01</x:v>
      </x:c>
      <x:c r="C2" s="3" t="str">
        <x:v>A</x:v>
      </x:c>
      <x:c r="D2" s="3" t="str">
        <x:v>BAT-A01</x:v>
      </x:c>
      <x:c r="E2" s="3" t="n">
        <x:v>0</x:v>
      </x:c>
      <x:c r="F2" s="3" t="str">
        <x:v>S007</x:v>
      </x:c>
      <x:c r="G2" s="3" t="n">
        <x:v>1727.3186397361987</x:v>
      </x:c>
      <x:c r="H2" s="3" t="n">
        <x:v>1.9706721139924146</x:v>
      </x:c>
      <x:c r="I2" s="3" t="n">
        <x:v>360</x:v>
      </x:c>
      <x:c r="J2" s="11" t="n">
        <x:v>0.5620728635572412</x:v>
      </x:c>
      <x:c r="K2" s="3" t="n">
        <x:v>2796.623917111785</x:v>
      </x:c>
      <x:c r="L2" s="13" t="n">
        <x:v>2</x:v>
      </x:c>
    </x:row>
    <x:row r="3" ht="23" customHeight="1">
      <x:c r="A3" s="10" t="str">
        <x:v>Q2T002</x:v>
      </x:c>
      <x:c r="B3" s="8" t="str">
        <x:v>U02</x:v>
      </x:c>
      <x:c r="C3" s="8" t="str">
        <x:v>A</x:v>
      </x:c>
      <x:c r="D3" s="8" t="str">
        <x:v>BAT-A02</x:v>
      </x:c>
      <x:c r="E3" s="8" t="n">
        <x:v>0</x:v>
      </x:c>
      <x:c r="F3" s="8" t="str">
        <x:v>S010</x:v>
      </x:c>
      <x:c r="G3" s="8" t="n">
        <x:v>1653.853569215472</x:v>
      </x:c>
      <x:c r="H3" s="8" t="n">
        <x:v>1.8902238101426416</x:v>
      </x:c>
      <x:c r="I3" s="8" t="n">
        <x:v>360</x:v>
      </x:c>
      <x:c r="J3" s="12" t="n">
        <x:v>0.5799502644127463</x:v>
      </x:c>
      <x:c r="K3" s="8" t="n">
        <x:v>2699.9182254789016</x:v>
      </x:c>
      <x:c r="L3" s="14" t="n">
        <x:v>2</x:v>
      </x:c>
    </x:row>
    <x:row r="4" ht="23" customHeight="1">
      <x:c r="A4" s="9" t="str">
        <x:v>Q2T003</x:v>
      </x:c>
      <x:c r="B4" s="3" t="str">
        <x:v>U03</x:v>
      </x:c>
      <x:c r="C4" s="3" t="str">
        <x:v>A</x:v>
      </x:c>
      <x:c r="D4" s="3" t="str">
        <x:v>BAT-A03</x:v>
      </x:c>
      <x:c r="E4" s="3" t="n">
        <x:v>0</x:v>
      </x:c>
      <x:c r="F4" s="3" t="str">
        <x:v>S010</x:v>
      </x:c>
      <x:c r="G4" s="3" t="n">
        <x:v>1593.853569215472</x:v>
      </x:c>
      <x:c r="H4" s="3" t="n">
        <x:v>1.9190843991630535</x:v>
      </x:c>
      <x:c r="I4" s="3" t="n">
        <x:v>330</x:v>
      </x:c>
      <x:c r="J4" s="11" t="n">
        <x:v>0.5735368001859882</x:v>
      </x:c>
      <x:c r="K4" s="3" t="n">
        <x:v>2648.2557289736874</x:v>
      </x:c>
      <x:c r="L4" s="13" t="n">
        <x:v>1</x:v>
      </x:c>
    </x:row>
    <x:row r="5" ht="23" customHeight="1">
      <x:c r="A5" s="10" t="str">
        <x:v>Q2T004</x:v>
      </x:c>
      <x:c r="B5" s="8" t="str">
        <x:v>U04</x:v>
      </x:c>
      <x:c r="C5" s="8" t="str">
        <x:v>A</x:v>
      </x:c>
      <x:c r="D5" s="8" t="str">
        <x:v>BAT-A04</x:v>
      </x:c>
      <x:c r="E5" s="8" t="n">
        <x:v>0</x:v>
      </x:c>
      <x:c r="F5" s="8" t="str">
        <x:v>S007</x:v>
      </x:c>
      <x:c r="G5" s="8" t="n">
        <x:v>1727.3186397361987</x:v>
      </x:c>
      <x:c r="H5" s="8" t="n">
        <x:v>1.9051008629062727</x:v>
      </x:c>
      <x:c r="I5" s="8" t="n">
        <x:v>360</x:v>
      </x:c>
      <x:c r="J5" s="12" t="n">
        <x:v>0.576644252687495</x:v>
      </x:c>
      <x:c r="K5" s="8" t="n">
        <x:v>2777.6811112424552</x:v>
      </x:c>
      <x:c r="L5" s="14" t="n">
        <x:v>2</x:v>
      </x:c>
    </x:row>
    <x:row r="6" ht="23" customHeight="1">
      <x:c r="A6" s="9" t="str">
        <x:v>Q2T005</x:v>
      </x:c>
      <x:c r="B6" s="3" t="str">
        <x:v>U05</x:v>
      </x:c>
      <x:c r="C6" s="3" t="str">
        <x:v>B</x:v>
      </x:c>
      <x:c r="D6" s="3" t="str">
        <x:v>BAT-B01</x:v>
      </x:c>
      <x:c r="E6" s="3" t="n">
        <x:v>0</x:v>
      </x:c>
      <x:c r="F6" s="3" t="str">
        <x:v>S012</x:v>
      </x:c>
      <x:c r="G6" s="3" t="n">
        <x:v>1923.8014006521316</x:v>
      </x:c>
      <x:c r="H6" s="3" t="n">
        <x:v>2.755237906410259</x:v>
      </x:c>
      <x:c r="I6" s="3" t="n">
        <x:v>390</x:v>
      </x:c>
      <x:c r="J6" s="11" t="n">
        <x:v>0.31119052339743525</x:v>
      </x:c>
      <x:c r="K6" s="3" t="n">
        <x:v>3784.404493429911</x:v>
      </x:c>
      <x:c r="L6" s="13" t="n">
        <x:v>3</x:v>
      </x:c>
    </x:row>
    <x:row r="7" ht="23" customHeight="1">
      <x:c r="A7" s="10" t="str">
        <x:v>Q2T006</x:v>
      </x:c>
      <x:c r="B7" s="8" t="str">
        <x:v>U06</x:v>
      </x:c>
      <x:c r="C7" s="8" t="str">
        <x:v>B</x:v>
      </x:c>
      <x:c r="D7" s="8" t="str">
        <x:v>BAT-B02</x:v>
      </x:c>
      <x:c r="E7" s="8" t="n">
        <x:v>0</x:v>
      </x:c>
      <x:c r="F7" s="8" t="str">
        <x:v>S013</x:v>
      </x:c>
      <x:c r="G7" s="8" t="n">
        <x:v>1510.400941459339</x:v>
      </x:c>
      <x:c r="H7" s="8" t="n">
        <x:v>1.8245693101072118</x:v>
      </x:c>
      <x:c r="I7" s="8" t="n">
        <x:v>390</x:v>
      </x:c>
      <x:c r="J7" s="12" t="n">
        <x:v>0.543857672473197</x:v>
      </x:c>
      <x:c r="K7" s="8" t="n">
        <x:v>2967.714309172464</x:v>
      </x:c>
      <x:c r="L7" s="14" t="n">
        <x:v>3</x:v>
      </x:c>
    </x:row>
    <x:row r="8" ht="23" customHeight="1">
      <x:c r="A8" s="9" t="str">
        <x:v>Q2T007</x:v>
      </x:c>
      <x:c r="B8" s="3" t="str">
        <x:v>U07</x:v>
      </x:c>
      <x:c r="C8" s="3" t="str">
        <x:v>C</x:v>
      </x:c>
      <x:c r="D8" s="3" t="str">
        <x:v>BAT-C01</x:v>
      </x:c>
      <x:c r="E8" s="3" t="n">
        <x:v>0</x:v>
      </x:c>
      <x:c r="F8" s="3" t="str">
        <x:v>S001</x:v>
      </x:c>
      <x:c r="G8" s="3" t="n">
        <x:v>1495.4267416985454</x:v>
      </x:c>
      <x:c r="H8" s="3" t="n">
        <x:v>2.7889268241463996</x:v>
      </x:c>
      <x:c r="I8" s="3" t="n">
        <x:v>480</x:v>
      </x:c>
      <x:c r="J8" s="11" t="n">
        <x:v>0.6513841469817001</x:v>
      </x:c>
      <x:c r="K8" s="3" t="n">
        <x:v>3084.0944232381953</x:v>
      </x:c>
      <x:c r="L8" s="13" t="n">
        <x:v>6</x:v>
      </x:c>
    </x:row>
    <x:row r="9" ht="23" customHeight="1">
      <x:c r="A9" s="10" t="str">
        <x:v>Q2T008</x:v>
      </x:c>
      <x:c r="B9" s="8" t="str">
        <x:v>U08</x:v>
      </x:c>
      <x:c r="C9" s="8" t="str">
        <x:v>C</x:v>
      </x:c>
      <x:c r="D9" s="8" t="str">
        <x:v>BAT-C02</x:v>
      </x:c>
      <x:c r="E9" s="8" t="n">
        <x:v>0</x:v>
      </x:c>
      <x:c r="F9" s="8" t="str">
        <x:v>S006</x:v>
      </x:c>
      <x:c r="G9" s="8" t="n">
        <x:v>1560.863885273963</x:v>
      </x:c>
      <x:c r="H9" s="8" t="n">
        <x:v>2.593979284603347</x:v>
      </x:c>
      <x:c r="I9" s="8" t="n">
        <x:v>480</x:v>
      </x:c>
      <x:c r="J9" s="12" t="n">
        <x:v>0.6757525894245816</x:v>
      </x:c>
      <x:c r="K9" s="8" t="n">
        <x:v>3096.733274854036</x:v>
      </x:c>
      <x:c r="L9" s="14" t="n">
        <x:v>6</x:v>
      </x:c>
    </x:row>
    <x:row r="10" ht="23" customHeight="1">
      <x:c r="A10" s="9" t="str">
        <x:v>Q2T009</x:v>
      </x:c>
      <x:c r="B10" s="3" t="str">
        <x:v>U07</x:v>
      </x:c>
      <x:c r="C10" s="3" t="str">
        <x:v>C</x:v>
      </x:c>
      <x:c r="D10" s="3" t="str">
        <x:v>BAT-C03</x:v>
      </x:c>
      <x:c r="E10" s="3" t="n">
        <x:v>1495.4267416985454</x:v>
      </x:c>
      <x:c r="F10" s="3" t="str">
        <x:v>S001→S002</x:v>
      </x:c>
      <x:c r="G10" s="3" t="n">
        <x:v>3867.06403232271</x:v>
      </x:c>
      <x:c r="H10" s="3" t="n">
        <x:v>6.099722133747344</x:v>
      </x:c>
      <x:c r="I10" s="3" t="n">
        <x:v>1975.4267416985454</x:v>
      </x:c>
      <x:c r="J10" s="11" t="n">
        <x:v>0.23753473328158203</x:v>
      </x:c>
      <x:c r="K10" s="3" t="n">
        <x:v>6352.405443545949</x:v>
      </x:c>
      <x:c r="L10" s="13" t="n">
        <x:v>6</x:v>
      </x:c>
    </x:row>
    <x:row r="11" ht="23" customHeight="1">
      <x:c r="A11" s="10" t="str">
        <x:v>Q2T010</x:v>
      </x:c>
      <x:c r="B11" s="8" t="str">
        <x:v>U06</x:v>
      </x:c>
      <x:c r="C11" s="8" t="str">
        <x:v>B</x:v>
      </x:c>
      <x:c r="D11" s="8" t="str">
        <x:v>BAT-B03</x:v>
      </x:c>
      <x:c r="E11" s="8" t="n">
        <x:v>1510.400941459339</x:v>
      </x:c>
      <x:c r="F11" s="8" t="str">
        <x:v>S014</x:v>
      </x:c>
      <x:c r="G11" s="8" t="n">
        <x:v>3378.9993893283818</x:v>
      </x:c>
      <x:c r="H11" s="8" t="n">
        <x:v>2.137306960043418</x:v>
      </x:c>
      <x:c r="I11" s="8" t="n">
        <x:v>1900.400941459339</x:v>
      </x:c>
      <x:c r="J11" s="12" t="n">
        <x:v>0.46567325998914555</x:v>
      </x:c>
      <x:c r="K11" s="8" t="n">
        <x:v>4971.832405347196</x:v>
      </x:c>
      <x:c r="L11" s="14" t="n">
        <x:v>3</x:v>
      </x:c>
    </x:row>
    <x:row r="12" ht="23" customHeight="1">
      <x:c r="A12" s="9" t="str">
        <x:v>Q2T011</x:v>
      </x:c>
      <x:c r="B12" s="3" t="str">
        <x:v>U08</x:v>
      </x:c>
      <x:c r="C12" s="3" t="str">
        <x:v>C</x:v>
      </x:c>
      <x:c r="D12" s="3" t="str">
        <x:v>BAT-C04</x:v>
      </x:c>
      <x:c r="E12" s="3" t="n">
        <x:v>1560.863885273963</x:v>
      </x:c>
      <x:c r="F12" s="3" t="str">
        <x:v>S001</x:v>
      </x:c>
      <x:c r="G12" s="3" t="n">
        <x:v>3188.290626972508</x:v>
      </x:c>
      <x:c r="H12" s="3" t="n">
        <x:v>2.6727064799152416</x:v>
      </x:c>
      <x:c r="I12" s="3" t="n">
        <x:v>2100.863885273963</x:v>
      </x:c>
      <x:c r="J12" s="11" t="n">
        <x:v>0.6659116900105948</x:v>
      </x:c>
      <x:c r="K12" s="3" t="n">
        <x:v>4745.481965282886</x:v>
      </x:c>
      <x:c r="L12" s="13" t="n">
        <x:v>8</x:v>
      </x:c>
    </x:row>
    <x:row r="13" ht="23" customHeight="1">
      <x:c r="A13" s="10" t="str">
        <x:v>Q2T012</x:v>
      </x:c>
      <x:c r="B13" s="8" t="str">
        <x:v>U05</x:v>
      </x:c>
      <x:c r="C13" s="8" t="str">
        <x:v>B</x:v>
      </x:c>
      <x:c r="D13" s="8" t="str">
        <x:v>BAT-B04</x:v>
      </x:c>
      <x:c r="E13" s="8" t="n">
        <x:v>1923.8014006521316</x:v>
      </x:c>
      <x:c r="F13" s="8" t="str">
        <x:v>S002</x:v>
      </x:c>
      <x:c r="G13" s="8" t="n">
        <x:v>3743.6914425179066</x:v>
      </x:c>
      <x:c r="H13" s="8" t="n">
        <x:v>2.7219266195164096</x:v>
      </x:c>
      <x:c r="I13" s="8" t="n">
        <x:v>2313.8014006521316</x:v>
      </x:c>
      <x:c r="J13" s="12" t="n">
        <x:v>0.3195183451208976</x:v>
      </x:c>
      <x:c r="K13" s="8" t="n">
        <x:v>5589.859644308351</x:v>
      </x:c>
      <x:c r="L13" s="14" t="n">
        <x:v>3</x:v>
      </x:c>
    </x:row>
    <x:row r="14" ht="23" customHeight="1">
      <x:c r="A14" s="9" t="str">
        <x:v>Q2T013</x:v>
      </x:c>
      <x:c r="B14" s="3" t="str">
        <x:v>U08</x:v>
      </x:c>
      <x:c r="C14" s="3" t="str">
        <x:v>C</x:v>
      </x:c>
      <x:c r="D14" s="3" t="str">
        <x:v>BAT-C01</x:v>
      </x:c>
      <x:c r="E14" s="3" t="n">
        <x:v>3188.290626972508</x:v>
      </x:c>
      <x:c r="F14" s="3" t="str">
        <x:v>S004</x:v>
      </x:c>
      <x:c r="G14" s="3" t="n">
        <x:v>5493.4761184403305</x:v>
      </x:c>
      <x:c r="H14" s="3" t="n">
        <x:v>6.1769190298915415</x:v>
      </x:c>
      <x:c r="I14" s="3" t="n">
        <x:v>3668.290626972508</x:v>
      </x:c>
      <x:c r="J14" s="11" t="n">
        <x:v>0.2278851212635573</x:v>
      </x:c>
      <x:c r="K14" s="3" t="n">
        <x:v>7999.72502236929</x:v>
      </x:c>
      <x:c r="L14" s="13" t="n">
        <x:v>6</x:v>
      </x:c>
    </x:row>
    <x:row r="15" ht="23" customHeight="1">
      <x:c r="A15" s="10" t="str">
        <x:v>Q2T014</x:v>
      </x:c>
      <x:c r="B15" s="8" t="str">
        <x:v>U06</x:v>
      </x:c>
      <x:c r="C15" s="8" t="str">
        <x:v>B</x:v>
      </x:c>
      <x:c r="D15" s="8" t="str">
        <x:v>BAT-B02</x:v>
      </x:c>
      <x:c r="E15" s="8" t="n">
        <x:v>3378.9993893283818</x:v>
      </x:c>
      <x:c r="F15" s="8" t="str">
        <x:v>S015</x:v>
      </x:c>
      <x:c r="G15" s="8" t="n">
        <x:v>5208.573490344398</x:v>
      </x:c>
      <x:c r="H15" s="8" t="n">
        <x:v>2.31090556296712</x:v>
      </x:c>
      <x:c r="I15" s="8" t="n">
        <x:v>3768.9993893283818</x:v>
      </x:c>
      <x:c r="J15" s="12" t="n">
        <x:v>0.42227360925822</x:v>
      </x:c>
      <x:c r="K15" s="8" t="n">
        <x:v>6876.63256763015</x:v>
      </x:c>
      <x:c r="L15" s="14" t="n">
        <x:v>3</x:v>
      </x:c>
    </x:row>
    <x:row r="16" ht="23" customHeight="1">
      <x:c r="A16" s="9" t="str">
        <x:v>Q2T015</x:v>
      </x:c>
      <x:c r="B16" s="3" t="str">
        <x:v>U05</x:v>
      </x:c>
      <x:c r="C16" s="3" t="str">
        <x:v>B</x:v>
      </x:c>
      <x:c r="D16" s="3" t="str">
        <x:v>BAT-B01</x:v>
      </x:c>
      <x:c r="E16" s="3" t="n">
        <x:v>3784.404493429911</x:v>
      </x:c>
      <x:c r="F16" s="3" t="str">
        <x:v>S011</x:v>
      </x:c>
      <x:c r="G16" s="3" t="n">
        <x:v>4974.035297994393</x:v>
      </x:c>
      <x:c r="H16" s="3" t="n">
        <x:v>1.0771726352063533</x:v>
      </x:c>
      <x:c r="I16" s="3" t="n">
        <x:v>4174.404493429911</x:v>
      </x:c>
      <x:c r="J16" s="11" t="n">
        <x:v>0.7307068411984117</x:v>
      </x:c>
      <x:c r="K16" s="3" t="n">
        <x:v>6107.476773250479</x:v>
      </x:c>
      <x:c r="L16" s="13" t="n">
        <x:v>3</x:v>
      </x:c>
    </x:row>
    <x:row r="17" ht="23" customHeight="1">
      <x:c r="A17" s="10" t="str">
        <x:v>Q2T016</x:v>
      </x:c>
      <x:c r="B17" s="8" t="str">
        <x:v>U07</x:v>
      </x:c>
      <x:c r="C17" s="8" t="str">
        <x:v>C</x:v>
      </x:c>
      <x:c r="D17" s="8" t="str">
        <x:v>BAT-C02</x:v>
      </x:c>
      <x:c r="E17" s="8" t="n">
        <x:v>3867.06403232271</x:v>
      </x:c>
      <x:c r="F17" s="8" t="str">
        <x:v>S003</x:v>
      </x:c>
      <x:c r="G17" s="8" t="n">
        <x:v>6368.874890435143</x:v>
      </x:c>
      <x:c r="H17" s="8" t="n">
        <x:v>6.322308310321764</x:v>
      </x:c>
      <x:c r="I17" s="8" t="n">
        <x:v>4377.06403232271</x:v>
      </x:c>
      <x:c r="J17" s="12" t="n">
        <x:v>0.20971146120977946</x:v>
      </x:c>
      <x:c r="K17" s="8" t="n">
        <x:v>8914.500057813955</x:v>
      </x:c>
      <x:c r="L17" s="14" t="n">
        <x:v>7</x:v>
      </x:c>
    </x:row>
    <x:row r="18" ht="23" customHeight="1">
      <x:c r="A18" s="9" t="str">
        <x:v>Q2T017</x:v>
      </x:c>
      <x:c r="B18" s="3" t="str">
        <x:v>U05</x:v>
      </x:c>
      <x:c r="C18" s="3" t="str">
        <x:v>B</x:v>
      </x:c>
      <x:c r="D18" s="3" t="str">
        <x:v>BAT-B03</x:v>
      </x:c>
      <x:c r="E18" s="3" t="n">
        <x:v>4974.035297994393</x:v>
      </x:c>
      <x:c r="F18" s="3" t="str">
        <x:v>S007→S003</x:v>
      </x:c>
      <x:c r="G18" s="3" t="n">
        <x:v>7153.719952504951</x:v>
      </x:c>
      <x:c r="H18" s="3" t="n">
        <x:v>2.5313916790117292</x:v>
      </x:c>
      <x:c r="I18" s="3" t="n">
        <x:v>5334.035297994393</x:v>
      </x:c>
      <x:c r="J18" s="11" t="n">
        <x:v>0.3671520802470677</x:v>
      </x:c>
      <x:c r="K18" s="3" t="n">
        <x:v>8917.323013410034</x:v>
      </x:c>
      <x:c r="L18" s="13" t="n">
        <x:v>2</x:v>
      </x:c>
    </x:row>
    <x:row r="19" ht="23" customHeight="1">
      <x:c r="A19" s="10" t="str">
        <x:v>Q2T018</x:v>
      </x:c>
      <x:c r="B19" s="8" t="str">
        <x:v>U08</x:v>
      </x:c>
      <x:c r="C19" s="8" t="str">
        <x:v>C</x:v>
      </x:c>
      <x:c r="D19" s="8" t="str">
        <x:v>BAT-C04</x:v>
      </x:c>
      <x:c r="E19" s="8" t="n">
        <x:v>5493.4761184403305</x:v>
      </x:c>
      <x:c r="F19" s="8" t="str">
        <x:v>S008</x:v>
      </x:c>
      <x:c r="G19" s="8" t="n">
        <x:v>7697.236007859792</x:v>
      </x:c>
      <x:c r="H19" s="8" t="n">
        <x:v>5.857497107796709</x:v>
      </x:c>
      <x:c r="I19" s="8" t="n">
        <x:v>5943.4761184403305</x:v>
      </x:c>
      <x:c r="J19" s="12" t="n">
        <x:v>0.2678128615254114</x:v>
      </x:c>
      <x:c r="K19" s="8" t="n">
        <x:v>10116.974807888068</x:v>
      </x:c>
      <x:c r="L19" s="14" t="n">
        <x:v>5</x:v>
      </x:c>
    </x:row>
    <x:row r="20" ht="23" customHeight="1">
      <x:c r="A20" s="9" t="str">
        <x:v>Q2T019</x:v>
      </x:c>
      <x:c r="B20" s="3" t="str">
        <x:v>U06</x:v>
      </x:c>
      <x:c r="C20" s="3" t="str">
        <x:v>B</x:v>
      </x:c>
      <x:c r="D20" s="3" t="str">
        <x:v>BAT-B04</x:v>
      </x:c>
      <x:c r="E20" s="3" t="n">
        <x:v>5589.859644308351</x:v>
      </x:c>
      <x:c r="F20" s="3" t="str">
        <x:v>S009</x:v>
      </x:c>
      <x:c r="G20" s="3" t="n">
        <x:v>7150.639434855461</x:v>
      </x:c>
      <x:c r="H20" s="3" t="n">
        <x:v>2.1024556442337228</x:v>
      </x:c>
      <x:c r="I20" s="3" t="n">
        <x:v>5979.859644308351</x:v>
      </x:c>
      <x:c r="J20" s="11" t="n">
        <x:v>0.4743860889415693</x:v>
      </x:c>
      <x:c r="K20" s="3" t="n">
        <x:v>8728.370214023409</x:v>
      </x:c>
      <x:c r="L20" s="13" t="n">
        <x:v>3</x:v>
      </x:c>
    </x:row>
    <x:row r="21" ht="23" customHeight="1">
      <x:c r="A21" s="10" t="str">
        <x:v>Q2T020</x:v>
      </x:c>
      <x:c r="B21" s="8" t="str">
        <x:v>U07</x:v>
      </x:c>
      <x:c r="C21" s="8" t="str">
        <x:v>C</x:v>
      </x:c>
      <x:c r="D21" s="8" t="str">
        <x:v>BAT-C03</x:v>
      </x:c>
      <x:c r="E21" s="8" t="n">
        <x:v>6368.874890435143</x:v>
      </x:c>
      <x:c r="F21" s="8" t="str">
        <x:v>S005</x:v>
      </x:c>
      <x:c r="G21" s="8" t="n">
        <x:v>8248.920507531224</x:v>
      </x:c>
      <x:c r="H21" s="8" t="n">
        <x:v>4.238780040694621</x:v>
      </x:c>
      <x:c r="I21" s="8" t="n">
        <x:v>6848.874890435143</x:v>
      </x:c>
      <x:c r="J21" s="12" t="n">
        <x:v>0.47015249491317235</x:v>
      </x:c>
      <x:c r="K21" s="8" t="n">
        <x:v>10230.256768552683</x:v>
      </x:c>
      <x:c r="L21" s="14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36a68212d4b84ea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6" hidden="0" customWidth="1"/>
    <x:col min="3" max="3" width="16" hidden="0" customWidth="1"/>
    <x:col min="4" max="4" width="16" hidden="0" customWidth="1"/>
    <x:col min="5" max="5" width="19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40" customHeight="1">
      <x:c r="A1" s="7" t="str">
        <x:v>货箱编号</x:v>
      </x:c>
      <x:c r="B1" s="7" t="str">
        <x:v>架次编号</x:v>
      </x:c>
      <x:c r="C1" s="7" t="str">
        <x:v>服务区编号</x:v>
      </x:c>
      <x:c r="D1" s="7" t="str">
        <x:v>交付完成时刻（s）</x:v>
      </x:c>
      <x:c r="E1" s="7" t="str">
        <x:v>物资类型</x:v>
      </x:c>
      <x:c r="F1" s="7" t="str">
        <x:v>质量（kg）</x:v>
      </x:c>
      <x:c r="G1" s="7" t="str">
        <x:v>体积（m3）</x:v>
      </x:c>
      <x:c r="H1" s="7" t="str">
        <x:v>期望时刻（s）</x:v>
      </x:c>
      <x:c r="I1" s="7" t="str">
        <x:v>硬截止（s）</x:v>
      </x:c>
      <x:c r="J1" s="7" t="str">
        <x:v>优先系数</x:v>
      </x:c>
      <x:c r="K1" s="7" t="str">
        <x:v>迟到秒数</x:v>
      </x:c>
      <x:c r="L1" s="7" t="str">
        <x:v>加权迟到</x:v>
      </x:c>
      <x:c r="M1" s="7" t="str">
        <x:v>是否首批</x:v>
      </x:c>
      <x:c r="N1" s="7" t="str">
        <x:v>硬时限违反</x:v>
      </x:c>
    </x:row>
    <x:row r="2" ht="23" customHeight="1">
      <x:c r="A2" s="9" t="str">
        <x:v>S001-FOD-01</x:v>
      </x:c>
      <x:c r="B2" s="3" t="str">
        <x:v>Q2T007</x:v>
      </x:c>
      <x:c r="C2" s="3" t="str">
        <x:v>S001</x:v>
      </x:c>
      <x:c r="D2" s="3" t="n">
        <x:v>1182.8983708492726</x:v>
      </x:c>
      <x:c r="E2" s="3" t="str">
        <x:v>应急食品</x:v>
      </x:c>
      <x:c r="F2" s="3" t="n">
        <x:v>8</x:v>
      </x:c>
      <x:c r="G2" s="3" t="n">
        <x:v>0.028</x:v>
      </x:c>
      <x:c r="H2" s="3" t="n">
        <x:v>7200</x:v>
      </x:c>
      <x:c r="I2" s="3"/>
      <x:c r="J2" s="3" t="n">
        <x:v>10</x:v>
      </x:c>
      <x:c r="K2" s="3" t="n">
        <x:f>MAX(0,D2-H2)</x:f>
        <x:v>0</x:v>
      </x:c>
      <x:c r="L2" s="3" t="n">
        <x:f>J2*K2/H2</x:f>
        <x:v>0</x:v>
      </x:c>
      <x:c r="M2" s="18" t="b">
        <x:v>0</x:v>
      </x:c>
      <x:c r="N2" s="13" t="n">
        <x:f>IF(I2="",0,IF(D2&gt;I2,1,0))</x:f>
        <x:v>0</x:v>
      </x:c>
    </x:row>
    <x:row r="3" ht="23" customHeight="1">
      <x:c r="A3" s="10" t="str">
        <x:v>S001-FOD-02</x:v>
      </x:c>
      <x:c r="B3" s="8" t="str">
        <x:v>Q2T007</x:v>
      </x:c>
      <x:c r="C3" s="8" t="str">
        <x:v>S001</x:v>
      </x:c>
      <x:c r="D3" s="8" t="n">
        <x:v>1182.8983708492726</x:v>
      </x:c>
      <x:c r="E3" s="8" t="str">
        <x:v>应急食品</x:v>
      </x:c>
      <x:c r="F3" s="8" t="n">
        <x:v>8</x:v>
      </x:c>
      <x:c r="G3" s="8" t="n">
        <x:v>0.028</x:v>
      </x:c>
      <x:c r="H3" s="8" t="n">
        <x:v>7200</x:v>
      </x:c>
      <x:c r="I3" s="8"/>
      <x:c r="J3" s="8" t="n">
        <x:v>10</x:v>
      </x:c>
      <x:c r="K3" s="8" t="n">
        <x:f>MAX(0,D3-H3)</x:f>
        <x:v>0</x:v>
      </x:c>
      <x:c r="L3" s="8" t="n">
        <x:f>J3*K3/H3</x:f>
        <x:v>0</x:v>
      </x:c>
      <x:c r="M3" s="19" t="b">
        <x:v>0</x:v>
      </x:c>
      <x:c r="N3" s="14" t="n">
        <x:f>IF(I3="",0,IF(D3&gt;I3,1,0))</x:f>
        <x:v>0</x:v>
      </x:c>
    </x:row>
    <x:row r="4" ht="23" customHeight="1">
      <x:c r="A4" s="9" t="str">
        <x:v>S001-FOD-03</x:v>
      </x:c>
      <x:c r="B4" s="3" t="str">
        <x:v>Q2T011</x:v>
      </x:c>
      <x:c r="C4" s="3" t="str">
        <x:v>S001</x:v>
      </x:c>
      <x:c r="D4" s="3" t="n">
        <x:v>2875.7622561232356</x:v>
      </x:c>
      <x:c r="E4" s="3" t="str">
        <x:v>应急食品</x:v>
      </x:c>
      <x:c r="F4" s="3" t="n">
        <x:v>8</x:v>
      </x:c>
      <x:c r="G4" s="3" t="n">
        <x:v>0.028</x:v>
      </x:c>
      <x:c r="H4" s="3" t="n">
        <x:v>7200</x:v>
      </x:c>
      <x:c r="I4" s="3"/>
      <x:c r="J4" s="3" t="n">
        <x:v>10</x:v>
      </x:c>
      <x:c r="K4" s="3" t="n">
        <x:f>MAX(0,D4-H4)</x:f>
        <x:v>0</x:v>
      </x:c>
      <x:c r="L4" s="3" t="n">
        <x:f>J4*K4/H4</x:f>
        <x:v>0</x:v>
      </x:c>
      <x:c r="M4" s="18" t="b">
        <x:v>0</x:v>
      </x:c>
      <x:c r="N4" s="13" t="n">
        <x:f>IF(I4="",0,IF(D4&gt;I4,1,0))</x:f>
        <x:v>0</x:v>
      </x:c>
    </x:row>
    <x:row r="5" ht="23" customHeight="1">
      <x:c r="A5" s="10" t="str">
        <x:v>S001-HYG-01</x:v>
      </x:c>
      <x:c r="B5" s="8" t="str">
        <x:v>Q2T011</x:v>
      </x:c>
      <x:c r="C5" s="8" t="str">
        <x:v>S001</x:v>
      </x:c>
      <x:c r="D5" s="8" t="n">
        <x:v>2875.7622561232356</x:v>
      </x:c>
      <x:c r="E5" s="8" t="str">
        <x:v>生活卫生用品</x:v>
      </x:c>
      <x:c r="F5" s="8" t="n">
        <x:v>6</x:v>
      </x:c>
      <x:c r="G5" s="8" t="n">
        <x:v>0.035</x:v>
      </x:c>
      <x:c r="H5" s="8" t="n">
        <x:v>10800</x:v>
      </x:c>
      <x:c r="I5" s="8"/>
      <x:c r="J5" s="8" t="n">
        <x:v>8</x:v>
      </x:c>
      <x:c r="K5" s="8" t="n">
        <x:f>MAX(0,D5-H5)</x:f>
        <x:v>0</x:v>
      </x:c>
      <x:c r="L5" s="8" t="n">
        <x:f>J5*K5/H5</x:f>
        <x:v>0</x:v>
      </x:c>
      <x:c r="M5" s="19" t="b">
        <x:v>0</x:v>
      </x:c>
      <x:c r="N5" s="14" t="n">
        <x:f>IF(I5="",0,IF(D5&gt;I5,1,0))</x:f>
        <x:v>0</x:v>
      </x:c>
    </x:row>
    <x:row r="6" ht="23" customHeight="1">
      <x:c r="A6" s="9" t="str">
        <x:v>S001-HYG-02</x:v>
      </x:c>
      <x:c r="B6" s="3" t="str">
        <x:v>Q2T011</x:v>
      </x:c>
      <x:c r="C6" s="3" t="str">
        <x:v>S001</x:v>
      </x:c>
      <x:c r="D6" s="3" t="n">
        <x:v>2875.7622561232356</x:v>
      </x:c>
      <x:c r="E6" s="3" t="str">
        <x:v>生活卫生用品</x:v>
      </x:c>
      <x:c r="F6" s="3" t="n">
        <x:v>6</x:v>
      </x:c>
      <x:c r="G6" s="3" t="n">
        <x:v>0.035</x:v>
      </x:c>
      <x:c r="H6" s="3" t="n">
        <x:v>10800</x:v>
      </x:c>
      <x:c r="I6" s="3"/>
      <x:c r="J6" s="3" t="n">
        <x:v>8</x:v>
      </x:c>
      <x:c r="K6" s="3" t="n">
        <x:f>MAX(0,D6-H6)</x:f>
        <x:v>0</x:v>
      </x:c>
      <x:c r="L6" s="3" t="n">
        <x:f>J6*K6/H6</x:f>
        <x:v>0</x:v>
      </x:c>
      <x:c r="M6" s="18" t="b">
        <x:v>0</x:v>
      </x:c>
      <x:c r="N6" s="13" t="n">
        <x:f>IF(I6="",0,IF(D6&gt;I6,1,0))</x:f>
        <x:v>0</x:v>
      </x:c>
    </x:row>
    <x:row r="7" ht="23" customHeight="1">
      <x:c r="A7" s="10" t="str">
        <x:v>S001-MED-01</x:v>
      </x:c>
      <x:c r="B7" s="8" t="str">
        <x:v>Q2T011</x:v>
      </x:c>
      <x:c r="C7" s="8" t="str">
        <x:v>S001</x:v>
      </x:c>
      <x:c r="D7" s="8" t="n">
        <x:v>2875.7622561232356</x:v>
      </x:c>
      <x:c r="E7" s="8" t="str">
        <x:v>医疗物资</x:v>
      </x:c>
      <x:c r="F7" s="8" t="n">
        <x:v>3</x:v>
      </x:c>
      <x:c r="G7" s="8" t="n">
        <x:v>0.012</x:v>
      </x:c>
      <x:c r="H7" s="8" t="n">
        <x:v>3600</x:v>
      </x:c>
      <x:c r="I7" s="8" t="n">
        <x:v>3600</x:v>
      </x:c>
      <x:c r="J7" s="8" t="n">
        <x:v>24</x:v>
      </x:c>
      <x:c r="K7" s="8" t="n">
        <x:f>MAX(0,D7-H7)</x:f>
        <x:v>0</x:v>
      </x:c>
      <x:c r="L7" s="8" t="n">
        <x:f>J7*K7/H7</x:f>
        <x:v>0</x:v>
      </x:c>
      <x:c r="M7" s="19" t="b">
        <x:v>1</x:v>
      </x:c>
      <x:c r="N7" s="14" t="n">
        <x:f>IF(I7="",0,IF(D7&gt;I7,1,0))</x:f>
        <x:v>0</x:v>
      </x:c>
    </x:row>
    <x:row r="8" ht="23" customHeight="1">
      <x:c r="A8" s="9" t="str">
        <x:v>S001-MED-02</x:v>
      </x:c>
      <x:c r="B8" s="3" t="str">
        <x:v>Q2T011</x:v>
      </x:c>
      <x:c r="C8" s="3" t="str">
        <x:v>S001</x:v>
      </x:c>
      <x:c r="D8" s="3" t="n">
        <x:v>2875.7622561232356</x:v>
      </x:c>
      <x:c r="E8" s="3" t="str">
        <x:v>医疗物资</x:v>
      </x:c>
      <x:c r="F8" s="3" t="n">
        <x:v>3</x:v>
      </x:c>
      <x:c r="G8" s="3" t="n">
        <x:v>0.012</x:v>
      </x:c>
      <x:c r="H8" s="3" t="n">
        <x:v>3600</x:v>
      </x:c>
      <x:c r="I8" s="3" t="n">
        <x:v>3600</x:v>
      </x:c>
      <x:c r="J8" s="3" t="n">
        <x:v>24</x:v>
      </x:c>
      <x:c r="K8" s="3" t="n">
        <x:f>MAX(0,D8-H8)</x:f>
        <x:v>0</x:v>
      </x:c>
      <x:c r="L8" s="3" t="n">
        <x:f>J8*K8/H8</x:f>
        <x:v>0</x:v>
      </x:c>
      <x:c r="M8" s="18" t="b">
        <x:v>0</x:v>
      </x:c>
      <x:c r="N8" s="13" t="n">
        <x:f>IF(I8="",0,IF(D8&gt;I8,1,0))</x:f>
        <x:v>0</x:v>
      </x:c>
    </x:row>
    <x:row r="9" ht="23" customHeight="1">
      <x:c r="A9" s="10" t="str">
        <x:v>S001-WAT-01</x:v>
      </x:c>
      <x:c r="B9" s="8" t="str">
        <x:v>Q2T011</x:v>
      </x:c>
      <x:c r="C9" s="8" t="str">
        <x:v>S001</x:v>
      </x:c>
      <x:c r="D9" s="8" t="n">
        <x:v>2875.7622561232356</x:v>
      </x:c>
      <x:c r="E9" s="8" t="str">
        <x:v>饮用水</x:v>
      </x:c>
      <x:c r="F9" s="8" t="n">
        <x:v>14</x:v>
      </x:c>
      <x:c r="G9" s="8" t="n">
        <x:v>0.027</x:v>
      </x:c>
      <x:c r="H9" s="8" t="n">
        <x:v>3600</x:v>
      </x:c>
      <x:c r="I9" s="8" t="n">
        <x:v>3600</x:v>
      </x:c>
      <x:c r="J9" s="8" t="n">
        <x:v>12</x:v>
      </x:c>
      <x:c r="K9" s="8" t="n">
        <x:f>MAX(0,D9-H9)</x:f>
        <x:v>0</x:v>
      </x:c>
      <x:c r="L9" s="8" t="n">
        <x:f>J9*K9/H9</x:f>
        <x:v>0</x:v>
      </x:c>
      <x:c r="M9" s="19" t="b">
        <x:v>1</x:v>
      </x:c>
      <x:c r="N9" s="14" t="n">
        <x:f>IF(I9="",0,IF(D9&gt;I9,1,0))</x:f>
        <x:v>0</x:v>
      </x:c>
    </x:row>
    <x:row r="10" ht="23" customHeight="1">
      <x:c r="A10" s="9" t="str">
        <x:v>S001-WAT-02</x:v>
      </x:c>
      <x:c r="B10" s="3" t="str">
        <x:v>Q2T007</x:v>
      </x:c>
      <x:c r="C10" s="3" t="str">
        <x:v>S001</x:v>
      </x:c>
      <x:c r="D10" s="3" t="n">
        <x:v>1182.8983708492726</x:v>
      </x:c>
      <x:c r="E10" s="3" t="str">
        <x:v>饮用水</x:v>
      </x:c>
      <x:c r="F10" s="3" t="n">
        <x:v>14</x:v>
      </x:c>
      <x:c r="G10" s="3" t="n">
        <x:v>0.027</x:v>
      </x:c>
      <x:c r="H10" s="3" t="n">
        <x:v>3600</x:v>
      </x:c>
      <x:c r="I10" s="3"/>
      <x:c r="J10" s="3" t="n">
        <x:v>12</x:v>
      </x:c>
      <x:c r="K10" s="3" t="n">
        <x:f>MAX(0,D10-H10)</x:f>
        <x:v>0</x:v>
      </x:c>
      <x:c r="L10" s="3" t="n">
        <x:f>J10*K10/H10</x:f>
        <x:v>0</x:v>
      </x:c>
      <x:c r="M10" s="18" t="b">
        <x:v>0</x:v>
      </x:c>
      <x:c r="N10" s="13" t="n">
        <x:f>IF(I10="",0,IF(D10&gt;I10,1,0))</x:f>
        <x:v>0</x:v>
      </x:c>
    </x:row>
    <x:row r="11" ht="23" customHeight="1">
      <x:c r="A11" s="10" t="str">
        <x:v>S001-WAT-03</x:v>
      </x:c>
      <x:c r="B11" s="8" t="str">
        <x:v>Q2T007</x:v>
      </x:c>
      <x:c r="C11" s="8" t="str">
        <x:v>S001</x:v>
      </x:c>
      <x:c r="D11" s="8" t="n">
        <x:v>1182.8983708492726</x:v>
      </x:c>
      <x:c r="E11" s="8" t="str">
        <x:v>饮用水</x:v>
      </x:c>
      <x:c r="F11" s="8" t="n">
        <x:v>14</x:v>
      </x:c>
      <x:c r="G11" s="8" t="n">
        <x:v>0.027</x:v>
      </x:c>
      <x:c r="H11" s="8" t="n">
        <x:v>3600</x:v>
      </x:c>
      <x:c r="I11" s="8"/>
      <x:c r="J11" s="8" t="n">
        <x:v>12</x:v>
      </x:c>
      <x:c r="K11" s="8" t="n">
        <x:f>MAX(0,D11-H11)</x:f>
        <x:v>0</x:v>
      </x:c>
      <x:c r="L11" s="8" t="n">
        <x:f>J11*K11/H11</x:f>
        <x:v>0</x:v>
      </x:c>
      <x:c r="M11" s="19" t="b">
        <x:v>0</x:v>
      </x:c>
      <x:c r="N11" s="14" t="n">
        <x:f>IF(I11="",0,IF(D11&gt;I11,1,0))</x:f>
        <x:v>0</x:v>
      </x:c>
    </x:row>
    <x:row r="12" ht="23" customHeight="1">
      <x:c r="A12" s="9" t="str">
        <x:v>S001-WAT-04</x:v>
      </x:c>
      <x:c r="B12" s="3" t="str">
        <x:v>Q2T007</x:v>
      </x:c>
      <x:c r="C12" s="3" t="str">
        <x:v>S001</x:v>
      </x:c>
      <x:c r="D12" s="3" t="n">
        <x:v>1182.8983708492726</x:v>
      </x:c>
      <x:c r="E12" s="3" t="str">
        <x:v>饮用水</x:v>
      </x:c>
      <x:c r="F12" s="3" t="n">
        <x:v>14</x:v>
      </x:c>
      <x:c r="G12" s="3" t="n">
        <x:v>0.027</x:v>
      </x:c>
      <x:c r="H12" s="3" t="n">
        <x:v>3600</x:v>
      </x:c>
      <x:c r="I12" s="3"/>
      <x:c r="J12" s="3" t="n">
        <x:v>12</x:v>
      </x:c>
      <x:c r="K12" s="3" t="n">
        <x:f>MAX(0,D12-H12)</x:f>
        <x:v>0</x:v>
      </x:c>
      <x:c r="L12" s="3" t="n">
        <x:f>J12*K12/H12</x:f>
        <x:v>0</x:v>
      </x:c>
      <x:c r="M12" s="18" t="b">
        <x:v>0</x:v>
      </x:c>
      <x:c r="N12" s="13" t="n">
        <x:f>IF(I12="",0,IF(D12&gt;I12,1,0))</x:f>
        <x:v>0</x:v>
      </x:c>
    </x:row>
    <x:row r="13" ht="23" customHeight="1">
      <x:c r="A13" s="10" t="str">
        <x:v>S001-WAT-05</x:v>
      </x:c>
      <x:c r="B13" s="8" t="str">
        <x:v>Q2T011</x:v>
      </x:c>
      <x:c r="C13" s="8" t="str">
        <x:v>S001</x:v>
      </x:c>
      <x:c r="D13" s="8" t="n">
        <x:v>2875.7622561232356</x:v>
      </x:c>
      <x:c r="E13" s="8" t="str">
        <x:v>饮用水</x:v>
      </x:c>
      <x:c r="F13" s="8" t="n">
        <x:v>14</x:v>
      </x:c>
      <x:c r="G13" s="8" t="n">
        <x:v>0.027</x:v>
      </x:c>
      <x:c r="H13" s="8" t="n">
        <x:v>3600</x:v>
      </x:c>
      <x:c r="I13" s="8"/>
      <x:c r="J13" s="8" t="n">
        <x:v>12</x:v>
      </x:c>
      <x:c r="K13" s="8" t="n">
        <x:f>MAX(0,D13-H13)</x:f>
        <x:v>0</x:v>
      </x:c>
      <x:c r="L13" s="8" t="n">
        <x:f>J13*K13/H13</x:f>
        <x:v>0</x:v>
      </x:c>
      <x:c r="M13" s="19" t="b">
        <x:v>0</x:v>
      </x:c>
      <x:c r="N13" s="14" t="n">
        <x:f>IF(I13="",0,IF(D13&gt;I13,1,0))</x:f>
        <x:v>0</x:v>
      </x:c>
    </x:row>
    <x:row r="14" ht="23" customHeight="1">
      <x:c r="A14" s="9" t="str">
        <x:v>S001-WAT-06</x:v>
      </x:c>
      <x:c r="B14" s="3" t="str">
        <x:v>Q2T007</x:v>
      </x:c>
      <x:c r="C14" s="3" t="str">
        <x:v>S001</x:v>
      </x:c>
      <x:c r="D14" s="3" t="n">
        <x:v>1182.8983708492726</x:v>
      </x:c>
      <x:c r="E14" s="3" t="str">
        <x:v>饮用水</x:v>
      </x:c>
      <x:c r="F14" s="3" t="n">
        <x:v>14</x:v>
      </x:c>
      <x:c r="G14" s="3" t="n">
        <x:v>0.027</x:v>
      </x:c>
      <x:c r="H14" s="3" t="n">
        <x:v>3600</x:v>
      </x:c>
      <x:c r="I14" s="3"/>
      <x:c r="J14" s="3" t="n">
        <x:v>12</x:v>
      </x:c>
      <x:c r="K14" s="3" t="n">
        <x:f>MAX(0,D14-H14)</x:f>
        <x:v>0</x:v>
      </x:c>
      <x:c r="L14" s="3" t="n">
        <x:f>J14*K14/H14</x:f>
        <x:v>0</x:v>
      </x:c>
      <x:c r="M14" s="18" t="b">
        <x:v>0</x:v>
      </x:c>
      <x:c r="N14" s="13" t="n">
        <x:f>IF(I14="",0,IF(D14&gt;I14,1,0))</x:f>
        <x:v>0</x:v>
      </x:c>
    </x:row>
    <x:row r="15" ht="23" customHeight="1">
      <x:c r="A15" s="10" t="str">
        <x:v>S001-WAT-07</x:v>
      </x:c>
      <x:c r="B15" s="8" t="str">
        <x:v>Q2T009</x:v>
      </x:c>
      <x:c r="C15" s="8" t="str">
        <x:v>S001</x:v>
      </x:c>
      <x:c r="D15" s="8" t="n">
        <x:v>2498.325112547818</x:v>
      </x:c>
      <x:c r="E15" s="8" t="str">
        <x:v>饮用水</x:v>
      </x:c>
      <x:c r="F15" s="8" t="n">
        <x:v>14</x:v>
      </x:c>
      <x:c r="G15" s="8" t="n">
        <x:v>0.027</x:v>
      </x:c>
      <x:c r="H15" s="8" t="n">
        <x:v>3600</x:v>
      </x:c>
      <x:c r="I15" s="8"/>
      <x:c r="J15" s="8" t="n">
        <x:v>12</x:v>
      </x:c>
      <x:c r="K15" s="8" t="n">
        <x:f>MAX(0,D15-H15)</x:f>
        <x:v>0</x:v>
      </x:c>
      <x:c r="L15" s="8" t="n">
        <x:f>J15*K15/H15</x:f>
        <x:v>0</x:v>
      </x:c>
      <x:c r="M15" s="19" t="b">
        <x:v>0</x:v>
      </x:c>
      <x:c r="N15" s="14" t="n">
        <x:f>IF(I15="",0,IF(D15&gt;I15,1,0))</x:f>
        <x:v>0</x:v>
      </x:c>
    </x:row>
    <x:row r="16" ht="23" customHeight="1">
      <x:c r="A16" s="9" t="str">
        <x:v>S001-WAT-08</x:v>
      </x:c>
      <x:c r="B16" s="3" t="str">
        <x:v>Q2T011</x:v>
      </x:c>
      <x:c r="C16" s="3" t="str">
        <x:v>S001</x:v>
      </x:c>
      <x:c r="D16" s="3" t="n">
        <x:v>2875.7622561232356</x:v>
      </x:c>
      <x:c r="E16" s="3" t="str">
        <x:v>饮用水</x:v>
      </x:c>
      <x:c r="F16" s="3" t="n">
        <x:v>14</x:v>
      </x:c>
      <x:c r="G16" s="3" t="n">
        <x:v>0.027</x:v>
      </x:c>
      <x:c r="H16" s="3" t="n">
        <x:v>3600</x:v>
      </x:c>
      <x:c r="I16" s="3"/>
      <x:c r="J16" s="3" t="n">
        <x:v>12</x:v>
      </x:c>
      <x:c r="K16" s="3" t="n">
        <x:f>MAX(0,D16-H16)</x:f>
        <x:v>0</x:v>
      </x:c>
      <x:c r="L16" s="3" t="n">
        <x:f>J16*K16/H16</x:f>
        <x:v>0</x:v>
      </x:c>
      <x:c r="M16" s="18" t="b">
        <x:v>0</x:v>
      </x:c>
      <x:c r="N16" s="13" t="n">
        <x:f>IF(I16="",0,IF(D16&gt;I16,1,0))</x:f>
        <x:v>0</x:v>
      </x:c>
    </x:row>
    <x:row r="17" ht="23" customHeight="1">
      <x:c r="A17" s="10" t="str">
        <x:v>S002-FOD-01</x:v>
      </x:c>
      <x:c r="B17" s="8" t="str">
        <x:v>Q2T012</x:v>
      </x:c>
      <x:c r="C17" s="8" t="str">
        <x:v>S002</x:v>
      </x:c>
      <x:c r="D17" s="8" t="n">
        <x:v>3145.686421585019</x:v>
      </x:c>
      <x:c r="E17" s="8" t="str">
        <x:v>应急食品</x:v>
      </x:c>
      <x:c r="F17" s="8" t="n">
        <x:v>8</x:v>
      </x:c>
      <x:c r="G17" s="8" t="n">
        <x:v>0.028</x:v>
      </x:c>
      <x:c r="H17" s="8" t="n">
        <x:v>7200</x:v>
      </x:c>
      <x:c r="I17" s="8"/>
      <x:c r="J17" s="8" t="n">
        <x:v>10</x:v>
      </x:c>
      <x:c r="K17" s="8" t="n">
        <x:f>MAX(0,D17-H17)</x:f>
        <x:v>0</x:v>
      </x:c>
      <x:c r="L17" s="8" t="n">
        <x:f>J17*K17/H17</x:f>
        <x:v>0</x:v>
      </x:c>
      <x:c r="M17" s="19" t="b">
        <x:v>0</x:v>
      </x:c>
      <x:c r="N17" s="14" t="n">
        <x:f>IF(I17="",0,IF(D17&gt;I17,1,0))</x:f>
        <x:v>0</x:v>
      </x:c>
    </x:row>
    <x:row r="18" ht="23" customHeight="1">
      <x:c r="A18" s="9" t="str">
        <x:v>S002-FOD-02</x:v>
      </x:c>
      <x:c r="B18" s="3" t="str">
        <x:v>Q2T009</x:v>
      </x:c>
      <x:c r="C18" s="3" t="str">
        <x:v>S002</x:v>
      </x:c>
      <x:c r="D18" s="3" t="n">
        <x:v>3244.969969031424</x:v>
      </x:c>
      <x:c r="E18" s="3" t="str">
        <x:v>应急食品</x:v>
      </x:c>
      <x:c r="F18" s="3" t="n">
        <x:v>8</x:v>
      </x:c>
      <x:c r="G18" s="3" t="n">
        <x:v>0.028</x:v>
      </x:c>
      <x:c r="H18" s="3" t="n">
        <x:v>7200</x:v>
      </x:c>
      <x:c r="I18" s="3"/>
      <x:c r="J18" s="3" t="n">
        <x:v>10</x:v>
      </x:c>
      <x:c r="K18" s="3" t="n">
        <x:f>MAX(0,D18-H18)</x:f>
        <x:v>0</x:v>
      </x:c>
      <x:c r="L18" s="3" t="n">
        <x:f>J18*K18/H18</x:f>
        <x:v>0</x:v>
      </x:c>
      <x:c r="M18" s="18" t="b">
        <x:v>0</x:v>
      </x:c>
      <x:c r="N18" s="13" t="n">
        <x:f>IF(I18="",0,IF(D18&gt;I18,1,0))</x:f>
        <x:v>0</x:v>
      </x:c>
    </x:row>
    <x:row r="19" ht="23" customHeight="1">
      <x:c r="A19" s="10" t="str">
        <x:v>S002-HYG-01</x:v>
      </x:c>
      <x:c r="B19" s="8" t="str">
        <x:v>Q2T009</x:v>
      </x:c>
      <x:c r="C19" s="8" t="str">
        <x:v>S002</x:v>
      </x:c>
      <x:c r="D19" s="8" t="n">
        <x:v>3244.969969031424</x:v>
      </x:c>
      <x:c r="E19" s="8" t="str">
        <x:v>生活卫生用品</x:v>
      </x:c>
      <x:c r="F19" s="8" t="n">
        <x:v>6</x:v>
      </x:c>
      <x:c r="G19" s="8" t="n">
        <x:v>0.035</x:v>
      </x:c>
      <x:c r="H19" s="8" t="n">
        <x:v>10800</x:v>
      </x:c>
      <x:c r="I19" s="8"/>
      <x:c r="J19" s="8" t="n">
        <x:v>8</x:v>
      </x:c>
      <x:c r="K19" s="8" t="n">
        <x:f>MAX(0,D19-H19)</x:f>
        <x:v>0</x:v>
      </x:c>
      <x:c r="L19" s="8" t="n">
        <x:f>J19*K19/H19</x:f>
        <x:v>0</x:v>
      </x:c>
      <x:c r="M19" s="19" t="b">
        <x:v>0</x:v>
      </x:c>
      <x:c r="N19" s="14" t="n">
        <x:f>IF(I19="",0,IF(D19&gt;I19,1,0))</x:f>
        <x:v>0</x:v>
      </x:c>
    </x:row>
    <x:row r="20" ht="23" customHeight="1">
      <x:c r="A20" s="9" t="str">
        <x:v>S002-MED-01</x:v>
      </x:c>
      <x:c r="B20" s="3" t="str">
        <x:v>Q2T012</x:v>
      </x:c>
      <x:c r="C20" s="3" t="str">
        <x:v>S002</x:v>
      </x:c>
      <x:c r="D20" s="3" t="n">
        <x:v>3145.686421585019</x:v>
      </x:c>
      <x:c r="E20" s="3" t="str">
        <x:v>医疗物资</x:v>
      </x:c>
      <x:c r="F20" s="3" t="n">
        <x:v>3</x:v>
      </x:c>
      <x:c r="G20" s="3" t="n">
        <x:v>0.012</x:v>
      </x:c>
      <x:c r="H20" s="3" t="n">
        <x:v>3600</x:v>
      </x:c>
      <x:c r="I20" s="3" t="n">
        <x:v>3600</x:v>
      </x:c>
      <x:c r="J20" s="3" t="n">
        <x:v>24</x:v>
      </x:c>
      <x:c r="K20" s="3" t="n">
        <x:f>MAX(0,D20-H20)</x:f>
        <x:v>0</x:v>
      </x:c>
      <x:c r="L20" s="3" t="n">
        <x:f>J20*K20/H20</x:f>
        <x:v>0</x:v>
      </x:c>
      <x:c r="M20" s="18" t="b">
        <x:v>1</x:v>
      </x:c>
      <x:c r="N20" s="13" t="n">
        <x:f>IF(I20="",0,IF(D20&gt;I20,1,0))</x:f>
        <x:v>0</x:v>
      </x:c>
    </x:row>
    <x:row r="21" ht="23" customHeight="1">
      <x:c r="A21" s="10" t="str">
        <x:v>S002-WAT-01</x:v>
      </x:c>
      <x:c r="B21" s="8" t="str">
        <x:v>Q2T009</x:v>
      </x:c>
      <x:c r="C21" s="8" t="str">
        <x:v>S002</x:v>
      </x:c>
      <x:c r="D21" s="8" t="n">
        <x:v>3244.969969031424</x:v>
      </x:c>
      <x:c r="E21" s="8" t="str">
        <x:v>饮用水</x:v>
      </x:c>
      <x:c r="F21" s="8" t="n">
        <x:v>14</x:v>
      </x:c>
      <x:c r="G21" s="8" t="n">
        <x:v>0.027</x:v>
      </x:c>
      <x:c r="H21" s="8" t="n">
        <x:v>3600</x:v>
      </x:c>
      <x:c r="I21" s="8" t="n">
        <x:v>3600</x:v>
      </x:c>
      <x:c r="J21" s="8" t="n">
        <x:v>12</x:v>
      </x:c>
      <x:c r="K21" s="8" t="n">
        <x:f>MAX(0,D21-H21)</x:f>
        <x:v>0</x:v>
      </x:c>
      <x:c r="L21" s="8" t="n">
        <x:f>J21*K21/H21</x:f>
        <x:v>0</x:v>
      </x:c>
      <x:c r="M21" s="19" t="b">
        <x:v>1</x:v>
      </x:c>
      <x:c r="N21" s="14" t="n">
        <x:f>IF(I21="",0,IF(D21&gt;I21,1,0))</x:f>
        <x:v>0</x:v>
      </x:c>
    </x:row>
    <x:row r="22" ht="23" customHeight="1">
      <x:c r="A22" s="9" t="str">
        <x:v>S002-WAT-02</x:v>
      </x:c>
      <x:c r="B22" s="3" t="str">
        <x:v>Q2T009</x:v>
      </x:c>
      <x:c r="C22" s="3" t="str">
        <x:v>S002</x:v>
      </x:c>
      <x:c r="D22" s="3" t="n">
        <x:v>3244.969969031424</x:v>
      </x:c>
      <x:c r="E22" s="3" t="str">
        <x:v>饮用水</x:v>
      </x:c>
      <x:c r="F22" s="3" t="n">
        <x:v>14</x:v>
      </x:c>
      <x:c r="G22" s="3" t="n">
        <x:v>0.027</x:v>
      </x:c>
      <x:c r="H22" s="3" t="n">
        <x:v>3600</x:v>
      </x:c>
      <x:c r="I22" s="3"/>
      <x:c r="J22" s="3" t="n">
        <x:v>12</x:v>
      </x:c>
      <x:c r="K22" s="3" t="n">
        <x:f>MAX(0,D22-H22)</x:f>
        <x:v>0</x:v>
      </x:c>
      <x:c r="L22" s="3" t="n">
        <x:f>J22*K22/H22</x:f>
        <x:v>0</x:v>
      </x:c>
      <x:c r="M22" s="18" t="b">
        <x:v>0</x:v>
      </x:c>
      <x:c r="N22" s="13" t="n">
        <x:f>IF(I22="",0,IF(D22&gt;I22,1,0))</x:f>
        <x:v>0</x:v>
      </x:c>
    </x:row>
    <x:row r="23" ht="23" customHeight="1">
      <x:c r="A23" s="10" t="str">
        <x:v>S002-WAT-03</x:v>
      </x:c>
      <x:c r="B23" s="8" t="str">
        <x:v>Q2T009</x:v>
      </x:c>
      <x:c r="C23" s="8" t="str">
        <x:v>S002</x:v>
      </x:c>
      <x:c r="D23" s="8" t="n">
        <x:v>3244.969969031424</x:v>
      </x:c>
      <x:c r="E23" s="8" t="str">
        <x:v>饮用水</x:v>
      </x:c>
      <x:c r="F23" s="8" t="n">
        <x:v>14</x:v>
      </x:c>
      <x:c r="G23" s="8" t="n">
        <x:v>0.027</x:v>
      </x:c>
      <x:c r="H23" s="8" t="n">
        <x:v>3600</x:v>
      </x:c>
      <x:c r="I23" s="8"/>
      <x:c r="J23" s="8" t="n">
        <x:v>12</x:v>
      </x:c>
      <x:c r="K23" s="8" t="n">
        <x:f>MAX(0,D23-H23)</x:f>
        <x:v>0</x:v>
      </x:c>
      <x:c r="L23" s="8" t="n">
        <x:f>J23*K23/H23</x:f>
        <x:v>0</x:v>
      </x:c>
      <x:c r="M23" s="19" t="b">
        <x:v>0</x:v>
      </x:c>
      <x:c r="N23" s="14" t="n">
        <x:f>IF(I23="",0,IF(D23&gt;I23,1,0))</x:f>
        <x:v>0</x:v>
      </x:c>
    </x:row>
    <x:row r="24" ht="23" customHeight="1">
      <x:c r="A24" s="9" t="str">
        <x:v>S002-WAT-04</x:v>
      </x:c>
      <x:c r="B24" s="3" t="str">
        <x:v>Q2T012</x:v>
      </x:c>
      <x:c r="C24" s="3" t="str">
        <x:v>S002</x:v>
      </x:c>
      <x:c r="D24" s="3" t="n">
        <x:v>3145.686421585019</x:v>
      </x:c>
      <x:c r="E24" s="3" t="str">
        <x:v>饮用水</x:v>
      </x:c>
      <x:c r="F24" s="3" t="n">
        <x:v>14</x:v>
      </x:c>
      <x:c r="G24" s="3" t="n">
        <x:v>0.027</x:v>
      </x:c>
      <x:c r="H24" s="3" t="n">
        <x:v>3600</x:v>
      </x:c>
      <x:c r="I24" s="3"/>
      <x:c r="J24" s="3" t="n">
        <x:v>12</x:v>
      </x:c>
      <x:c r="K24" s="3" t="n">
        <x:f>MAX(0,D24-H24)</x:f>
        <x:v>0</x:v>
      </x:c>
      <x:c r="L24" s="3" t="n">
        <x:f>J24*K24/H24</x:f>
        <x:v>0</x:v>
      </x:c>
      <x:c r="M24" s="18" t="b">
        <x:v>0</x:v>
      </x:c>
      <x:c r="N24" s="13" t="n">
        <x:f>IF(I24="",0,IF(D24&gt;I24,1,0))</x:f>
        <x:v>0</x:v>
      </x:c>
    </x:row>
    <x:row r="25" ht="23" customHeight="1">
      <x:c r="A25" s="10" t="str">
        <x:v>S003-FOD-01</x:v>
      </x:c>
      <x:c r="B25" s="8" t="str">
        <x:v>Q2T016</x:v>
      </x:c>
      <x:c r="C25" s="8" t="str">
        <x:v>S003</x:v>
      </x:c>
      <x:c r="D25" s="8" t="n">
        <x:v>5578.429461378926</x:v>
      </x:c>
      <x:c r="E25" s="8" t="str">
        <x:v>应急食品</x:v>
      </x:c>
      <x:c r="F25" s="8" t="n">
        <x:v>8</x:v>
      </x:c>
      <x:c r="G25" s="8" t="n">
        <x:v>0.028</x:v>
      </x:c>
      <x:c r="H25" s="8" t="n">
        <x:v>10800</x:v>
      </x:c>
      <x:c r="I25" s="8"/>
      <x:c r="J25" s="8" t="n">
        <x:v>8</x:v>
      </x:c>
      <x:c r="K25" s="8" t="n">
        <x:f>MAX(0,D25-H25)</x:f>
        <x:v>0</x:v>
      </x:c>
      <x:c r="L25" s="8" t="n">
        <x:f>J25*K25/H25</x:f>
        <x:v>0</x:v>
      </x:c>
      <x:c r="M25" s="19" t="b">
        <x:v>0</x:v>
      </x:c>
      <x:c r="N25" s="14" t="n">
        <x:f>IF(I25="",0,IF(D25&gt;I25,1,0))</x:f>
        <x:v>0</x:v>
      </x:c>
    </x:row>
    <x:row r="26" ht="23" customHeight="1">
      <x:c r="A26" s="9" t="str">
        <x:v>S003-FOD-02</x:v>
      </x:c>
      <x:c r="B26" s="3" t="str">
        <x:v>Q2T016</x:v>
      </x:c>
      <x:c r="C26" s="3" t="str">
        <x:v>S003</x:v>
      </x:c>
      <x:c r="D26" s="3" t="n">
        <x:v>5578.429461378926</x:v>
      </x:c>
      <x:c r="E26" s="3" t="str">
        <x:v>应急食品</x:v>
      </x:c>
      <x:c r="F26" s="3" t="n">
        <x:v>8</x:v>
      </x:c>
      <x:c r="G26" s="3" t="n">
        <x:v>0.028</x:v>
      </x:c>
      <x:c r="H26" s="3" t="n">
        <x:v>10800</x:v>
      </x:c>
      <x:c r="I26" s="3"/>
      <x:c r="J26" s="3" t="n">
        <x:v>8</x:v>
      </x:c>
      <x:c r="K26" s="3" t="n">
        <x:f>MAX(0,D26-H26)</x:f>
        <x:v>0</x:v>
      </x:c>
      <x:c r="L26" s="3" t="n">
        <x:f>J26*K26/H26</x:f>
        <x:v>0</x:v>
      </x:c>
      <x:c r="M26" s="18" t="b">
        <x:v>0</x:v>
      </x:c>
      <x:c r="N26" s="13" t="n">
        <x:f>IF(I26="",0,IF(D26&gt;I26,1,0))</x:f>
        <x:v>0</x:v>
      </x:c>
    </x:row>
    <x:row r="27" ht="23" customHeight="1">
      <x:c r="A27" s="10" t="str">
        <x:v>S003-HYG-01</x:v>
      </x:c>
      <x:c r="B27" s="8" t="str">
        <x:v>Q2T016</x:v>
      </x:c>
      <x:c r="C27" s="8" t="str">
        <x:v>S003</x:v>
      </x:c>
      <x:c r="D27" s="8" t="n">
        <x:v>5578.429461378926</x:v>
      </x:c>
      <x:c r="E27" s="8" t="str">
        <x:v>生活卫生用品</x:v>
      </x:c>
      <x:c r="F27" s="8" t="n">
        <x:v>6</x:v>
      </x:c>
      <x:c r="G27" s="8" t="n">
        <x:v>0.035</x:v>
      </x:c>
      <x:c r="H27" s="8" t="n">
        <x:v>14400</x:v>
      </x:c>
      <x:c r="I27" s="8"/>
      <x:c r="J27" s="8" t="n">
        <x:v>6</x:v>
      </x:c>
      <x:c r="K27" s="8" t="n">
        <x:f>MAX(0,D27-H27)</x:f>
        <x:v>0</x:v>
      </x:c>
      <x:c r="L27" s="8" t="n">
        <x:f>J27*K27/H27</x:f>
        <x:v>0</x:v>
      </x:c>
      <x:c r="M27" s="19" t="b">
        <x:v>0</x:v>
      </x:c>
      <x:c r="N27" s="14" t="n">
        <x:f>IF(I27="",0,IF(D27&gt;I27,1,0))</x:f>
        <x:v>0</x:v>
      </x:c>
    </x:row>
    <x:row r="28" ht="23" customHeight="1">
      <x:c r="A28" s="9" t="str">
        <x:v>S003-MED-01</x:v>
      </x:c>
      <x:c r="B28" s="3" t="str">
        <x:v>Q2T016</x:v>
      </x:c>
      <x:c r="C28" s="3" t="str">
        <x:v>S003</x:v>
      </x:c>
      <x:c r="D28" s="3" t="n">
        <x:v>5578.429461378926</x:v>
      </x:c>
      <x:c r="E28" s="3" t="str">
        <x:v>医疗物资</x:v>
      </x:c>
      <x:c r="F28" s="3" t="n">
        <x:v>3</x:v>
      </x:c>
      <x:c r="G28" s="3" t="n">
        <x:v>0.012</x:v>
      </x:c>
      <x:c r="H28" s="3" t="n">
        <x:v>7200</x:v>
      </x:c>
      <x:c r="I28" s="3" t="n">
        <x:v>7200</x:v>
      </x:c>
      <x:c r="J28" s="3" t="n">
        <x:v>20</x:v>
      </x:c>
      <x:c r="K28" s="3" t="n">
        <x:f>MAX(0,D28-H28)</x:f>
        <x:v>0</x:v>
      </x:c>
      <x:c r="L28" s="3" t="n">
        <x:f>J28*K28/H28</x:f>
        <x:v>0</x:v>
      </x:c>
      <x:c r="M28" s="18" t="b">
        <x:v>1</x:v>
      </x:c>
      <x:c r="N28" s="13" t="n">
        <x:f>IF(I28="",0,IF(D28&gt;I28,1,0))</x:f>
        <x:v>0</x:v>
      </x:c>
    </x:row>
    <x:row r="29" ht="23" customHeight="1">
      <x:c r="A29" s="10" t="str">
        <x:v>S003-WAT-01</x:v>
      </x:c>
      <x:c r="B29" s="8" t="str">
        <x:v>Q2T016</x:v>
      </x:c>
      <x:c r="C29" s="8" t="str">
        <x:v>S003</x:v>
      </x:c>
      <x:c r="D29" s="8" t="n">
        <x:v>5578.429461378926</x:v>
      </x:c>
      <x:c r="E29" s="8" t="str">
        <x:v>饮用水</x:v>
      </x:c>
      <x:c r="F29" s="8" t="n">
        <x:v>14</x:v>
      </x:c>
      <x:c r="G29" s="8" t="n">
        <x:v>0.027</x:v>
      </x:c>
      <x:c r="H29" s="8" t="n">
        <x:v>7200</x:v>
      </x:c>
      <x:c r="I29" s="8" t="n">
        <x:v>7200</x:v>
      </x:c>
      <x:c r="J29" s="8" t="n">
        <x:v>10</x:v>
      </x:c>
      <x:c r="K29" s="8" t="n">
        <x:f>MAX(0,D29-H29)</x:f>
        <x:v>0</x:v>
      </x:c>
      <x:c r="L29" s="8" t="n">
        <x:f>J29*K29/H29</x:f>
        <x:v>0</x:v>
      </x:c>
      <x:c r="M29" s="19" t="b">
        <x:v>1</x:v>
      </x:c>
      <x:c r="N29" s="14" t="n">
        <x:f>IF(I29="",0,IF(D29&gt;I29,1,0))</x:f>
        <x:v>0</x:v>
      </x:c>
    </x:row>
    <x:row r="30" ht="23" customHeight="1">
      <x:c r="A30" s="9" t="str">
        <x:v>S003-WAT-02</x:v>
      </x:c>
      <x:c r="B30" s="3" t="str">
        <x:v>Q2T016</x:v>
      </x:c>
      <x:c r="C30" s="3" t="str">
        <x:v>S003</x:v>
      </x:c>
      <x:c r="D30" s="3" t="n">
        <x:v>5578.429461378926</x:v>
      </x:c>
      <x:c r="E30" s="3" t="str">
        <x:v>饮用水</x:v>
      </x:c>
      <x:c r="F30" s="3" t="n">
        <x:v>14</x:v>
      </x:c>
      <x:c r="G30" s="3" t="n">
        <x:v>0.027</x:v>
      </x:c>
      <x:c r="H30" s="3" t="n">
        <x:v>7200</x:v>
      </x:c>
      <x:c r="I30" s="3"/>
      <x:c r="J30" s="3" t="n">
        <x:v>10</x:v>
      </x:c>
      <x:c r="K30" s="3" t="n">
        <x:f>MAX(0,D30-H30)</x:f>
        <x:v>0</x:v>
      </x:c>
      <x:c r="L30" s="3" t="n">
        <x:f>J30*K30/H30</x:f>
        <x:v>0</x:v>
      </x:c>
      <x:c r="M30" s="18" t="b">
        <x:v>0</x:v>
      </x:c>
      <x:c r="N30" s="13" t="n">
        <x:f>IF(I30="",0,IF(D30&gt;I30,1,0))</x:f>
        <x:v>0</x:v>
      </x:c>
    </x:row>
    <x:row r="31" ht="23" customHeight="1">
      <x:c r="A31" s="10" t="str">
        <x:v>S003-WAT-03</x:v>
      </x:c>
      <x:c r="B31" s="8" t="str">
        <x:v>Q2T016</x:v>
      </x:c>
      <x:c r="C31" s="8" t="str">
        <x:v>S003</x:v>
      </x:c>
      <x:c r="D31" s="8" t="n">
        <x:v>5578.429461378926</x:v>
      </x:c>
      <x:c r="E31" s="8" t="str">
        <x:v>饮用水</x:v>
      </x:c>
      <x:c r="F31" s="8" t="n">
        <x:v>14</x:v>
      </x:c>
      <x:c r="G31" s="8" t="n">
        <x:v>0.027</x:v>
      </x:c>
      <x:c r="H31" s="8" t="n">
        <x:v>7200</x:v>
      </x:c>
      <x:c r="I31" s="8"/>
      <x:c r="J31" s="8" t="n">
        <x:v>10</x:v>
      </x:c>
      <x:c r="K31" s="8" t="n">
        <x:f>MAX(0,D31-H31)</x:f>
        <x:v>0</x:v>
      </x:c>
      <x:c r="L31" s="8" t="n">
        <x:f>J31*K31/H31</x:f>
        <x:v>0</x:v>
      </x:c>
      <x:c r="M31" s="19" t="b">
        <x:v>0</x:v>
      </x:c>
      <x:c r="N31" s="14" t="n">
        <x:f>IF(I31="",0,IF(D31&gt;I31,1,0))</x:f>
        <x:v>0</x:v>
      </x:c>
    </x:row>
    <x:row r="32" ht="23" customHeight="1">
      <x:c r="A32" s="9" t="str">
        <x:v>S003-WAT-04</x:v>
      </x:c>
      <x:c r="B32" s="3" t="str">
        <x:v>Q2T017</x:v>
      </x:c>
      <x:c r="C32" s="3" t="str">
        <x:v>S003</x:v>
      </x:c>
      <x:c r="D32" s="3" t="n">
        <x:v>6421.571879812666</x:v>
      </x:c>
      <x:c r="E32" s="3" t="str">
        <x:v>饮用水</x:v>
      </x:c>
      <x:c r="F32" s="3" t="n">
        <x:v>14</x:v>
      </x:c>
      <x:c r="G32" s="3" t="n">
        <x:v>0.027</x:v>
      </x:c>
      <x:c r="H32" s="3" t="n">
        <x:v>7200</x:v>
      </x:c>
      <x:c r="I32" s="3"/>
      <x:c r="J32" s="3" t="n">
        <x:v>10</x:v>
      </x:c>
      <x:c r="K32" s="3" t="n">
        <x:f>MAX(0,D32-H32)</x:f>
        <x:v>0</x:v>
      </x:c>
      <x:c r="L32" s="3" t="n">
        <x:f>J32*K32/H32</x:f>
        <x:v>0</x:v>
      </x:c>
      <x:c r="M32" s="18" t="b">
        <x:v>0</x:v>
      </x:c>
      <x:c r="N32" s="13" t="n">
        <x:f>IF(I32="",0,IF(D32&gt;I32,1,0))</x:f>
        <x:v>0</x:v>
      </x:c>
    </x:row>
    <x:row r="33" ht="23" customHeight="1">
      <x:c r="A33" s="10" t="str">
        <x:v>S004-FOD-01</x:v>
      </x:c>
      <x:c r="B33" s="8" t="str">
        <x:v>Q2T013</x:v>
      </x:c>
      <x:c r="C33" s="8" t="str">
        <x:v>S004</x:v>
      </x:c>
      <x:c r="D33" s="8" t="n">
        <x:v>4773.853372706419</x:v>
      </x:c>
      <x:c r="E33" s="8" t="str">
        <x:v>应急食品</x:v>
      </x:c>
      <x:c r="F33" s="8" t="n">
        <x:v>8</x:v>
      </x:c>
      <x:c r="G33" s="8" t="n">
        <x:v>0.028</x:v>
      </x:c>
      <x:c r="H33" s="8" t="n">
        <x:v>10800</x:v>
      </x:c>
      <x:c r="I33" s="8"/>
      <x:c r="J33" s="8" t="n">
        <x:v>8</x:v>
      </x:c>
      <x:c r="K33" s="8" t="n">
        <x:f>MAX(0,D33-H33)</x:f>
        <x:v>0</x:v>
      </x:c>
      <x:c r="L33" s="8" t="n">
        <x:f>J33*K33/H33</x:f>
        <x:v>0</x:v>
      </x:c>
      <x:c r="M33" s="19" t="b">
        <x:v>0</x:v>
      </x:c>
      <x:c r="N33" s="14" t="n">
        <x:f>IF(I33="",0,IF(D33&gt;I33,1,0))</x:f>
        <x:v>0</x:v>
      </x:c>
    </x:row>
    <x:row r="34" ht="23" customHeight="1">
      <x:c r="A34" s="9" t="str">
        <x:v>S004-HYG-01</x:v>
      </x:c>
      <x:c r="B34" s="3" t="str">
        <x:v>Q2T013</x:v>
      </x:c>
      <x:c r="C34" s="3" t="str">
        <x:v>S004</x:v>
      </x:c>
      <x:c r="D34" s="3" t="n">
        <x:v>4773.853372706419</x:v>
      </x:c>
      <x:c r="E34" s="3" t="str">
        <x:v>生活卫生用品</x:v>
      </x:c>
      <x:c r="F34" s="3" t="n">
        <x:v>6</x:v>
      </x:c>
      <x:c r="G34" s="3" t="n">
        <x:v>0.035</x:v>
      </x:c>
      <x:c r="H34" s="3" t="n">
        <x:v>14400</x:v>
      </x:c>
      <x:c r="I34" s="3"/>
      <x:c r="J34" s="3" t="n">
        <x:v>6</x:v>
      </x:c>
      <x:c r="K34" s="3" t="n">
        <x:f>MAX(0,D34-H34)</x:f>
        <x:v>0</x:v>
      </x:c>
      <x:c r="L34" s="3" t="n">
        <x:f>J34*K34/H34</x:f>
        <x:v>0</x:v>
      </x:c>
      <x:c r="M34" s="18" t="b">
        <x:v>0</x:v>
      </x:c>
      <x:c r="N34" s="13" t="n">
        <x:f>IF(I34="",0,IF(D34&gt;I34,1,0))</x:f>
        <x:v>0</x:v>
      </x:c>
    </x:row>
    <x:row r="35" ht="23" customHeight="1">
      <x:c r="A35" s="10" t="str">
        <x:v>S004-MED-01</x:v>
      </x:c>
      <x:c r="B35" s="8" t="str">
        <x:v>Q2T013</x:v>
      </x:c>
      <x:c r="C35" s="8" t="str">
        <x:v>S004</x:v>
      </x:c>
      <x:c r="D35" s="8" t="n">
        <x:v>4773.853372706419</x:v>
      </x:c>
      <x:c r="E35" s="8" t="str">
        <x:v>医疗物资</x:v>
      </x:c>
      <x:c r="F35" s="8" t="n">
        <x:v>3</x:v>
      </x:c>
      <x:c r="G35" s="8" t="n">
        <x:v>0.012</x:v>
      </x:c>
      <x:c r="H35" s="8" t="n">
        <x:v>7200</x:v>
      </x:c>
      <x:c r="I35" s="8" t="n">
        <x:v>7200</x:v>
      </x:c>
      <x:c r="J35" s="8" t="n">
        <x:v>20</x:v>
      </x:c>
      <x:c r="K35" s="8" t="n">
        <x:f>MAX(0,D35-H35)</x:f>
        <x:v>0</x:v>
      </x:c>
      <x:c r="L35" s="8" t="n">
        <x:f>J35*K35/H35</x:f>
        <x:v>0</x:v>
      </x:c>
      <x:c r="M35" s="19" t="b">
        <x:v>1</x:v>
      </x:c>
      <x:c r="N35" s="14" t="n">
        <x:f>IF(I35="",0,IF(D35&gt;I35,1,0))</x:f>
        <x:v>0</x:v>
      </x:c>
    </x:row>
    <x:row r="36" ht="23" customHeight="1">
      <x:c r="A36" s="9" t="str">
        <x:v>S004-WAT-01</x:v>
      </x:c>
      <x:c r="B36" s="3" t="str">
        <x:v>Q2T013</x:v>
      </x:c>
      <x:c r="C36" s="3" t="str">
        <x:v>S004</x:v>
      </x:c>
      <x:c r="D36" s="3" t="n">
        <x:v>4773.853372706419</x:v>
      </x:c>
      <x:c r="E36" s="3" t="str">
        <x:v>饮用水</x:v>
      </x:c>
      <x:c r="F36" s="3" t="n">
        <x:v>14</x:v>
      </x:c>
      <x:c r="G36" s="3" t="n">
        <x:v>0.027</x:v>
      </x:c>
      <x:c r="H36" s="3" t="n">
        <x:v>7200</x:v>
      </x:c>
      <x:c r="I36" s="3" t="n">
        <x:v>7200</x:v>
      </x:c>
      <x:c r="J36" s="3" t="n">
        <x:v>10</x:v>
      </x:c>
      <x:c r="K36" s="3" t="n">
        <x:f>MAX(0,D36-H36)</x:f>
        <x:v>0</x:v>
      </x:c>
      <x:c r="L36" s="3" t="n">
        <x:f>J36*K36/H36</x:f>
        <x:v>0</x:v>
      </x:c>
      <x:c r="M36" s="18" t="b">
        <x:v>1</x:v>
      </x:c>
      <x:c r="N36" s="13" t="n">
        <x:f>IF(I36="",0,IF(D36&gt;I36,1,0))</x:f>
        <x:v>0</x:v>
      </x:c>
    </x:row>
    <x:row r="37" ht="23" customHeight="1">
      <x:c r="A37" s="10" t="str">
        <x:v>S004-WAT-02</x:v>
      </x:c>
      <x:c r="B37" s="8" t="str">
        <x:v>Q2T013</x:v>
      </x:c>
      <x:c r="C37" s="8" t="str">
        <x:v>S004</x:v>
      </x:c>
      <x:c r="D37" s="8" t="n">
        <x:v>4773.853372706419</x:v>
      </x:c>
      <x:c r="E37" s="8" t="str">
        <x:v>饮用水</x:v>
      </x:c>
      <x:c r="F37" s="8" t="n">
        <x:v>14</x:v>
      </x:c>
      <x:c r="G37" s="8" t="n">
        <x:v>0.027</x:v>
      </x:c>
      <x:c r="H37" s="8" t="n">
        <x:v>7200</x:v>
      </x:c>
      <x:c r="I37" s="8"/>
      <x:c r="J37" s="8" t="n">
        <x:v>10</x:v>
      </x:c>
      <x:c r="K37" s="8" t="n">
        <x:f>MAX(0,D37-H37)</x:f>
        <x:v>0</x:v>
      </x:c>
      <x:c r="L37" s="8" t="n">
        <x:f>J37*K37/H37</x:f>
        <x:v>0</x:v>
      </x:c>
      <x:c r="M37" s="19" t="b">
        <x:v>0</x:v>
      </x:c>
      <x:c r="N37" s="14" t="n">
        <x:f>IF(I37="",0,IF(D37&gt;I37,1,0))</x:f>
        <x:v>0</x:v>
      </x:c>
    </x:row>
    <x:row r="38" ht="23" customHeight="1">
      <x:c r="A38" s="9" t="str">
        <x:v>S004-WAT-03</x:v>
      </x:c>
      <x:c r="B38" s="3" t="str">
        <x:v>Q2T013</x:v>
      </x:c>
      <x:c r="C38" s="3" t="str">
        <x:v>S004</x:v>
      </x:c>
      <x:c r="D38" s="3" t="n">
        <x:v>4773.853372706419</x:v>
      </x:c>
      <x:c r="E38" s="3" t="str">
        <x:v>饮用水</x:v>
      </x:c>
      <x:c r="F38" s="3" t="n">
        <x:v>14</x:v>
      </x:c>
      <x:c r="G38" s="3" t="n">
        <x:v>0.027</x:v>
      </x:c>
      <x:c r="H38" s="3" t="n">
        <x:v>7200</x:v>
      </x:c>
      <x:c r="I38" s="3"/>
      <x:c r="J38" s="3" t="n">
        <x:v>10</x:v>
      </x:c>
      <x:c r="K38" s="3" t="n">
        <x:f>MAX(0,D38-H38)</x:f>
        <x:v>0</x:v>
      </x:c>
      <x:c r="L38" s="3" t="n">
        <x:f>J38*K38/H38</x:f>
        <x:v>0</x:v>
      </x:c>
      <x:c r="M38" s="18" t="b">
        <x:v>0</x:v>
      </x:c>
      <x:c r="N38" s="13" t="n">
        <x:f>IF(I38="",0,IF(D38&gt;I38,1,0))</x:f>
        <x:v>0</x:v>
      </x:c>
    </x:row>
    <x:row r="39" ht="23" customHeight="1">
      <x:c r="A39" s="10" t="str">
        <x:v>S005-FOD-01</x:v>
      </x:c>
      <x:c r="B39" s="8" t="str">
        <x:v>Q2T020</x:v>
      </x:c>
      <x:c r="C39" s="8" t="str">
        <x:v>S005</x:v>
      </x:c>
      <x:c r="D39" s="8" t="n">
        <x:v>7743.532698983183</x:v>
      </x:c>
      <x:c r="E39" s="8" t="str">
        <x:v>应急食品</x:v>
      </x:c>
      <x:c r="F39" s="8" t="n">
        <x:v>8</x:v>
      </x:c>
      <x:c r="G39" s="8" t="n">
        <x:v>0.028</x:v>
      </x:c>
      <x:c r="H39" s="8" t="n">
        <x:v>14400</x:v>
      </x:c>
      <x:c r="I39" s="8"/>
      <x:c r="J39" s="8" t="n">
        <x:v>6</x:v>
      </x:c>
      <x:c r="K39" s="8" t="n">
        <x:f>MAX(0,D39-H39)</x:f>
        <x:v>0</x:v>
      </x:c>
      <x:c r="L39" s="8" t="n">
        <x:f>J39*K39/H39</x:f>
        <x:v>0</x:v>
      </x:c>
      <x:c r="M39" s="19" t="b">
        <x:v>0</x:v>
      </x:c>
      <x:c r="N39" s="14" t="n">
        <x:f>IF(I39="",0,IF(D39&gt;I39,1,0))</x:f>
        <x:v>0</x:v>
      </x:c>
    </x:row>
    <x:row r="40" ht="23" customHeight="1">
      <x:c r="A40" s="9" t="str">
        <x:v>S005-HYG-01</x:v>
      </x:c>
      <x:c r="B40" s="3" t="str">
        <x:v>Q2T020</x:v>
      </x:c>
      <x:c r="C40" s="3" t="str">
        <x:v>S005</x:v>
      </x:c>
      <x:c r="D40" s="3" t="n">
        <x:v>7743.532698983183</x:v>
      </x:c>
      <x:c r="E40" s="3" t="str">
        <x:v>生活卫生用品</x:v>
      </x:c>
      <x:c r="F40" s="3" t="n">
        <x:v>6</x:v>
      </x:c>
      <x:c r="G40" s="3" t="n">
        <x:v>0.035</x:v>
      </x:c>
      <x:c r="H40" s="3" t="n">
        <x:v>18000</x:v>
      </x:c>
      <x:c r="I40" s="3"/>
      <x:c r="J40" s="3" t="n">
        <x:v>4</x:v>
      </x:c>
      <x:c r="K40" s="3" t="n">
        <x:f>MAX(0,D40-H40)</x:f>
        <x:v>0</x:v>
      </x:c>
      <x:c r="L40" s="3" t="n">
        <x:f>J40*K40/H40</x:f>
        <x:v>0</x:v>
      </x:c>
      <x:c r="M40" s="18" t="b">
        <x:v>0</x:v>
      </x:c>
      <x:c r="N40" s="13" t="n">
        <x:f>IF(I40="",0,IF(D40&gt;I40,1,0))</x:f>
        <x:v>0</x:v>
      </x:c>
    </x:row>
    <x:row r="41" ht="23" customHeight="1">
      <x:c r="A41" s="10" t="str">
        <x:v>S005-MED-01</x:v>
      </x:c>
      <x:c r="B41" s="8" t="str">
        <x:v>Q2T020</x:v>
      </x:c>
      <x:c r="C41" s="8" t="str">
        <x:v>S005</x:v>
      </x:c>
      <x:c r="D41" s="8" t="n">
        <x:v>7743.532698983183</x:v>
      </x:c>
      <x:c r="E41" s="8" t="str">
        <x:v>医疗物资</x:v>
      </x:c>
      <x:c r="F41" s="8" t="n">
        <x:v>3</x:v>
      </x:c>
      <x:c r="G41" s="8" t="n">
        <x:v>0.012</x:v>
      </x:c>
      <x:c r="H41" s="8" t="n">
        <x:v>10800</x:v>
      </x:c>
      <x:c r="I41" s="8" t="n">
        <x:v>10800</x:v>
      </x:c>
      <x:c r="J41" s="8" t="n">
        <x:v>16</x:v>
      </x:c>
      <x:c r="K41" s="8" t="n">
        <x:f>MAX(0,D41-H41)</x:f>
        <x:v>0</x:v>
      </x:c>
      <x:c r="L41" s="8" t="n">
        <x:f>J41*K41/H41</x:f>
        <x:v>0</x:v>
      </x:c>
      <x:c r="M41" s="19" t="b">
        <x:v>1</x:v>
      </x:c>
      <x:c r="N41" s="14" t="n">
        <x:f>IF(I41="",0,IF(D41&gt;I41,1,0))</x:f>
        <x:v>0</x:v>
      </x:c>
    </x:row>
    <x:row r="42" ht="23" customHeight="1">
      <x:c r="A42" s="9" t="str">
        <x:v>S005-WAT-01</x:v>
      </x:c>
      <x:c r="B42" s="3" t="str">
        <x:v>Q2T020</x:v>
      </x:c>
      <x:c r="C42" s="3" t="str">
        <x:v>S005</x:v>
      </x:c>
      <x:c r="D42" s="3" t="n">
        <x:v>7743.532698983183</x:v>
      </x:c>
      <x:c r="E42" s="3" t="str">
        <x:v>饮用水</x:v>
      </x:c>
      <x:c r="F42" s="3" t="n">
        <x:v>14</x:v>
      </x:c>
      <x:c r="G42" s="3" t="n">
        <x:v>0.027</x:v>
      </x:c>
      <x:c r="H42" s="3" t="n">
        <x:v>10800</x:v>
      </x:c>
      <x:c r="I42" s="3" t="n">
        <x:v>10800</x:v>
      </x:c>
      <x:c r="J42" s="3" t="n">
        <x:v>8</x:v>
      </x:c>
      <x:c r="K42" s="3" t="n">
        <x:f>MAX(0,D42-H42)</x:f>
        <x:v>0</x:v>
      </x:c>
      <x:c r="L42" s="3" t="n">
        <x:f>J42*K42/H42</x:f>
        <x:v>0</x:v>
      </x:c>
      <x:c r="M42" s="18" t="b">
        <x:v>1</x:v>
      </x:c>
      <x:c r="N42" s="13" t="n">
        <x:f>IF(I42="",0,IF(D42&gt;I42,1,0))</x:f>
        <x:v>0</x:v>
      </x:c>
    </x:row>
    <x:row r="43" ht="23" customHeight="1">
      <x:c r="A43" s="10" t="str">
        <x:v>S005-WAT-02</x:v>
      </x:c>
      <x:c r="B43" s="8" t="str">
        <x:v>Q2T020</x:v>
      </x:c>
      <x:c r="C43" s="8" t="str">
        <x:v>S005</x:v>
      </x:c>
      <x:c r="D43" s="8" t="n">
        <x:v>7743.532698983183</x:v>
      </x:c>
      <x:c r="E43" s="8" t="str">
        <x:v>饮用水</x:v>
      </x:c>
      <x:c r="F43" s="8" t="n">
        <x:v>14</x:v>
      </x:c>
      <x:c r="G43" s="8" t="n">
        <x:v>0.027</x:v>
      </x:c>
      <x:c r="H43" s="8" t="n">
        <x:v>10800</x:v>
      </x:c>
      <x:c r="I43" s="8"/>
      <x:c r="J43" s="8" t="n">
        <x:v>8</x:v>
      </x:c>
      <x:c r="K43" s="8" t="n">
        <x:f>MAX(0,D43-H43)</x:f>
        <x:v>0</x:v>
      </x:c>
      <x:c r="L43" s="8" t="n">
        <x:f>J43*K43/H43</x:f>
        <x:v>0</x:v>
      </x:c>
      <x:c r="M43" s="19" t="b">
        <x:v>0</x:v>
      </x:c>
      <x:c r="N43" s="14" t="n">
        <x:f>IF(I43="",0,IF(D43&gt;I43,1,0))</x:f>
        <x:v>0</x:v>
      </x:c>
    </x:row>
    <x:row r="44" ht="23" customHeight="1">
      <x:c r="A44" s="9" t="str">
        <x:v>S005-WAT-03</x:v>
      </x:c>
      <x:c r="B44" s="3" t="str">
        <x:v>Q2T020</x:v>
      </x:c>
      <x:c r="C44" s="3" t="str">
        <x:v>S005</x:v>
      </x:c>
      <x:c r="D44" s="3" t="n">
        <x:v>7743.532698983183</x:v>
      </x:c>
      <x:c r="E44" s="3" t="str">
        <x:v>饮用水</x:v>
      </x:c>
      <x:c r="F44" s="3" t="n">
        <x:v>14</x:v>
      </x:c>
      <x:c r="G44" s="3" t="n">
        <x:v>0.027</x:v>
      </x:c>
      <x:c r="H44" s="3" t="n">
        <x:v>10800</x:v>
      </x:c>
      <x:c r="I44" s="3"/>
      <x:c r="J44" s="3" t="n">
        <x:v>8</x:v>
      </x:c>
      <x:c r="K44" s="3" t="n">
        <x:f>MAX(0,D44-H44)</x:f>
        <x:v>0</x:v>
      </x:c>
      <x:c r="L44" s="3" t="n">
        <x:f>J44*K44/H44</x:f>
        <x:v>0</x:v>
      </x:c>
      <x:c r="M44" s="18" t="b">
        <x:v>0</x:v>
      </x:c>
      <x:c r="N44" s="13" t="n">
        <x:f>IF(I44="",0,IF(D44&gt;I44,1,0))</x:f>
        <x:v>0</x:v>
      </x:c>
    </x:row>
    <x:row r="45" ht="23" customHeight="1">
      <x:c r="A45" s="10" t="str">
        <x:v>S006-FOD-01</x:v>
      </x:c>
      <x:c r="B45" s="8" t="str">
        <x:v>Q2T008</x:v>
      </x:c>
      <x:c r="C45" s="8" t="str">
        <x:v>S006</x:v>
      </x:c>
      <x:c r="D45" s="8" t="n">
        <x:v>1209.0769426369816</x:v>
      </x:c>
      <x:c r="E45" s="8" t="str">
        <x:v>应急食品</x:v>
      </x:c>
      <x:c r="F45" s="8" t="n">
        <x:v>8</x:v>
      </x:c>
      <x:c r="G45" s="8" t="n">
        <x:v>0.028</x:v>
      </x:c>
      <x:c r="H45" s="8" t="n">
        <x:v>7200</x:v>
      </x:c>
      <x:c r="I45" s="8"/>
      <x:c r="J45" s="8" t="n">
        <x:v>10</x:v>
      </x:c>
      <x:c r="K45" s="8" t="n">
        <x:f>MAX(0,D45-H45)</x:f>
        <x:v>0</x:v>
      </x:c>
      <x:c r="L45" s="8" t="n">
        <x:f>J45*K45/H45</x:f>
        <x:v>0</x:v>
      </x:c>
      <x:c r="M45" s="19" t="b">
        <x:v>0</x:v>
      </x:c>
      <x:c r="N45" s="14" t="n">
        <x:f>IF(I45="",0,IF(D45&gt;I45,1,0))</x:f>
        <x:v>0</x:v>
      </x:c>
    </x:row>
    <x:row r="46" ht="23" customHeight="1">
      <x:c r="A46" s="9" t="str">
        <x:v>S006-HYG-01</x:v>
      </x:c>
      <x:c r="B46" s="3" t="str">
        <x:v>Q2T008</x:v>
      </x:c>
      <x:c r="C46" s="3" t="str">
        <x:v>S006</x:v>
      </x:c>
      <x:c r="D46" s="3" t="n">
        <x:v>1209.0769426369816</x:v>
      </x:c>
      <x:c r="E46" s="3" t="str">
        <x:v>生活卫生用品</x:v>
      </x:c>
      <x:c r="F46" s="3" t="n">
        <x:v>6</x:v>
      </x:c>
      <x:c r="G46" s="3" t="n">
        <x:v>0.035</x:v>
      </x:c>
      <x:c r="H46" s="3" t="n">
        <x:v>10800</x:v>
      </x:c>
      <x:c r="I46" s="3"/>
      <x:c r="J46" s="3" t="n">
        <x:v>8</x:v>
      </x:c>
      <x:c r="K46" s="3" t="n">
        <x:f>MAX(0,D46-H46)</x:f>
        <x:v>0</x:v>
      </x:c>
      <x:c r="L46" s="3" t="n">
        <x:f>J46*K46/H46</x:f>
        <x:v>0</x:v>
      </x:c>
      <x:c r="M46" s="18" t="b">
        <x:v>0</x:v>
      </x:c>
      <x:c r="N46" s="13" t="n">
        <x:f>IF(I46="",0,IF(D46&gt;I46,1,0))</x:f>
        <x:v>0</x:v>
      </x:c>
    </x:row>
    <x:row r="47" ht="23" customHeight="1">
      <x:c r="A47" s="10" t="str">
        <x:v>S006-MED-01</x:v>
      </x:c>
      <x:c r="B47" s="8" t="str">
        <x:v>Q2T008</x:v>
      </x:c>
      <x:c r="C47" s="8" t="str">
        <x:v>S006</x:v>
      </x:c>
      <x:c r="D47" s="8" t="n">
        <x:v>1209.0769426369816</x:v>
      </x:c>
      <x:c r="E47" s="8" t="str">
        <x:v>医疗物资</x:v>
      </x:c>
      <x:c r="F47" s="8" t="n">
        <x:v>3</x:v>
      </x:c>
      <x:c r="G47" s="8" t="n">
        <x:v>0.012</x:v>
      </x:c>
      <x:c r="H47" s="8" t="n">
        <x:v>3600</x:v>
      </x:c>
      <x:c r="I47" s="8" t="n">
        <x:v>3600</x:v>
      </x:c>
      <x:c r="J47" s="8" t="n">
        <x:v>24</x:v>
      </x:c>
      <x:c r="K47" s="8" t="n">
        <x:f>MAX(0,D47-H47)</x:f>
        <x:v>0</x:v>
      </x:c>
      <x:c r="L47" s="8" t="n">
        <x:f>J47*K47/H47</x:f>
        <x:v>0</x:v>
      </x:c>
      <x:c r="M47" s="19" t="b">
        <x:v>1</x:v>
      </x:c>
      <x:c r="N47" s="14" t="n">
        <x:f>IF(I47="",0,IF(D47&gt;I47,1,0))</x:f>
        <x:v>0</x:v>
      </x:c>
    </x:row>
    <x:row r="48" ht="23" customHeight="1">
      <x:c r="A48" s="9" t="str">
        <x:v>S006-WAT-01</x:v>
      </x:c>
      <x:c r="B48" s="3" t="str">
        <x:v>Q2T008</x:v>
      </x:c>
      <x:c r="C48" s="3" t="str">
        <x:v>S006</x:v>
      </x:c>
      <x:c r="D48" s="3" t="n">
        <x:v>1209.0769426369816</x:v>
      </x:c>
      <x:c r="E48" s="3" t="str">
        <x:v>饮用水</x:v>
      </x:c>
      <x:c r="F48" s="3" t="n">
        <x:v>14</x:v>
      </x:c>
      <x:c r="G48" s="3" t="n">
        <x:v>0.027</x:v>
      </x:c>
      <x:c r="H48" s="3" t="n">
        <x:v>3600</x:v>
      </x:c>
      <x:c r="I48" s="3" t="n">
        <x:v>3600</x:v>
      </x:c>
      <x:c r="J48" s="3" t="n">
        <x:v>12</x:v>
      </x:c>
      <x:c r="K48" s="3" t="n">
        <x:f>MAX(0,D48-H48)</x:f>
        <x:v>0</x:v>
      </x:c>
      <x:c r="L48" s="3" t="n">
        <x:f>J48*K48/H48</x:f>
        <x:v>0</x:v>
      </x:c>
      <x:c r="M48" s="18" t="b">
        <x:v>1</x:v>
      </x:c>
      <x:c r="N48" s="13" t="n">
        <x:f>IF(I48="",0,IF(D48&gt;I48,1,0))</x:f>
        <x:v>0</x:v>
      </x:c>
    </x:row>
    <x:row r="49" ht="23" customHeight="1">
      <x:c r="A49" s="10" t="str">
        <x:v>S006-WAT-02</x:v>
      </x:c>
      <x:c r="B49" s="8" t="str">
        <x:v>Q2T008</x:v>
      </x:c>
      <x:c r="C49" s="8" t="str">
        <x:v>S006</x:v>
      </x:c>
      <x:c r="D49" s="8" t="n">
        <x:v>1209.0769426369816</x:v>
      </x:c>
      <x:c r="E49" s="8" t="str">
        <x:v>饮用水</x:v>
      </x:c>
      <x:c r="F49" s="8" t="n">
        <x:v>14</x:v>
      </x:c>
      <x:c r="G49" s="8" t="n">
        <x:v>0.027</x:v>
      </x:c>
      <x:c r="H49" s="8" t="n">
        <x:v>3600</x:v>
      </x:c>
      <x:c r="I49" s="8"/>
      <x:c r="J49" s="8" t="n">
        <x:v>12</x:v>
      </x:c>
      <x:c r="K49" s="8" t="n">
        <x:f>MAX(0,D49-H49)</x:f>
        <x:v>0</x:v>
      </x:c>
      <x:c r="L49" s="8" t="n">
        <x:f>J49*K49/H49</x:f>
        <x:v>0</x:v>
      </x:c>
      <x:c r="M49" s="19" t="b">
        <x:v>0</x:v>
      </x:c>
      <x:c r="N49" s="14" t="n">
        <x:f>IF(I49="",0,IF(D49&gt;I49,1,0))</x:f>
        <x:v>0</x:v>
      </x:c>
    </x:row>
    <x:row r="50" ht="23" customHeight="1">
      <x:c r="A50" s="9" t="str">
        <x:v>S006-WAT-03</x:v>
      </x:c>
      <x:c r="B50" s="3" t="str">
        <x:v>Q2T008</x:v>
      </x:c>
      <x:c r="C50" s="3" t="str">
        <x:v>S006</x:v>
      </x:c>
      <x:c r="D50" s="3" t="n">
        <x:v>1209.0769426369816</x:v>
      </x:c>
      <x:c r="E50" s="3" t="str">
        <x:v>饮用水</x:v>
      </x:c>
      <x:c r="F50" s="3" t="n">
        <x:v>14</x:v>
      </x:c>
      <x:c r="G50" s="3" t="n">
        <x:v>0.027</x:v>
      </x:c>
      <x:c r="H50" s="3" t="n">
        <x:v>3600</x:v>
      </x:c>
      <x:c r="I50" s="3"/>
      <x:c r="J50" s="3" t="n">
        <x:v>12</x:v>
      </x:c>
      <x:c r="K50" s="3" t="n">
        <x:f>MAX(0,D50-H50)</x:f>
        <x:v>0</x:v>
      </x:c>
      <x:c r="L50" s="3" t="n">
        <x:f>J50*K50/H50</x:f>
        <x:v>0</x:v>
      </x:c>
      <x:c r="M50" s="18" t="b">
        <x:v>0</x:v>
      </x:c>
      <x:c r="N50" s="13" t="n">
        <x:f>IF(I50="",0,IF(D50&gt;I50,1,0))</x:f>
        <x:v>0</x:v>
      </x:c>
    </x:row>
    <x:row r="51" ht="23" customHeight="1">
      <x:c r="A51" s="10" t="str">
        <x:v>S007-FOD-01</x:v>
      </x:c>
      <x:c r="B51" s="8" t="str">
        <x:v>Q2T001</x:v>
      </x:c>
      <x:c r="C51" s="8" t="str">
        <x:v>S007</x:v>
      </x:c>
      <x:c r="D51" s="8" t="n">
        <x:v>1141.2993198680992</x:v>
      </x:c>
      <x:c r="E51" s="8" t="str">
        <x:v>应急食品</x:v>
      </x:c>
      <x:c r="F51" s="8" t="n">
        <x:v>8</x:v>
      </x:c>
      <x:c r="G51" s="8" t="n">
        <x:v>0.028</x:v>
      </x:c>
      <x:c r="H51" s="8" t="n">
        <x:v>7200</x:v>
      </x:c>
      <x:c r="I51" s="8"/>
      <x:c r="J51" s="8" t="n">
        <x:v>10</x:v>
      </x:c>
      <x:c r="K51" s="8" t="n">
        <x:f>MAX(0,D51-H51)</x:f>
        <x:v>0</x:v>
      </x:c>
      <x:c r="L51" s="8" t="n">
        <x:f>J51*K51/H51</x:f>
        <x:v>0</x:v>
      </x:c>
      <x:c r="M51" s="19" t="b">
        <x:v>0</x:v>
      </x:c>
      <x:c r="N51" s="14" t="n">
        <x:f>IF(I51="",0,IF(D51&gt;I51,1,0))</x:f>
        <x:v>0</x:v>
      </x:c>
    </x:row>
    <x:row r="52" ht="23" customHeight="1">
      <x:c r="A52" s="9" t="str">
        <x:v>S007-HYG-01</x:v>
      </x:c>
      <x:c r="B52" s="3" t="str">
        <x:v>Q2T017</x:v>
      </x:c>
      <x:c r="C52" s="3" t="str">
        <x:v>S007</x:v>
      </x:c>
      <x:c r="D52" s="3" t="n">
        <x:v>6009.7708195627</x:v>
      </x:c>
      <x:c r="E52" s="3" t="str">
        <x:v>生活卫生用品</x:v>
      </x:c>
      <x:c r="F52" s="3" t="n">
        <x:v>6</x:v>
      </x:c>
      <x:c r="G52" s="3" t="n">
        <x:v>0.035</x:v>
      </x:c>
      <x:c r="H52" s="3" t="n">
        <x:v>10800</x:v>
      </x:c>
      <x:c r="I52" s="3"/>
      <x:c r="J52" s="3" t="n">
        <x:v>8</x:v>
      </x:c>
      <x:c r="K52" s="3" t="n">
        <x:f>MAX(0,D52-H52)</x:f>
        <x:v>0</x:v>
      </x:c>
      <x:c r="L52" s="3" t="n">
        <x:f>J52*K52/H52</x:f>
        <x:v>0</x:v>
      </x:c>
      <x:c r="M52" s="18" t="b">
        <x:v>0</x:v>
      </x:c>
      <x:c r="N52" s="13" t="n">
        <x:f>IF(I52="",0,IF(D52&gt;I52,1,0))</x:f>
        <x:v>0</x:v>
      </x:c>
    </x:row>
    <x:row r="53" ht="23" customHeight="1">
      <x:c r="A53" s="10" t="str">
        <x:v>S007-MED-01</x:v>
      </x:c>
      <x:c r="B53" s="8" t="str">
        <x:v>Q2T004</x:v>
      </x:c>
      <x:c r="C53" s="8" t="str">
        <x:v>S007</x:v>
      </x:c>
      <x:c r="D53" s="8" t="n">
        <x:v>1141.2993198680992</x:v>
      </x:c>
      <x:c r="E53" s="8" t="str">
        <x:v>医疗物资</x:v>
      </x:c>
      <x:c r="F53" s="8" t="n">
        <x:v>3</x:v>
      </x:c>
      <x:c r="G53" s="8" t="n">
        <x:v>0.012</x:v>
      </x:c>
      <x:c r="H53" s="8" t="n">
        <x:v>3600</x:v>
      </x:c>
      <x:c r="I53" s="8" t="n">
        <x:v>3600</x:v>
      </x:c>
      <x:c r="J53" s="8" t="n">
        <x:v>24</x:v>
      </x:c>
      <x:c r="K53" s="8" t="n">
        <x:f>MAX(0,D53-H53)</x:f>
        <x:v>0</x:v>
      </x:c>
      <x:c r="L53" s="8" t="n">
        <x:f>J53*K53/H53</x:f>
        <x:v>0</x:v>
      </x:c>
      <x:c r="M53" s="19" t="b">
        <x:v>1</x:v>
      </x:c>
      <x:c r="N53" s="14" t="n">
        <x:f>IF(I53="",0,IF(D53&gt;I53,1,0))</x:f>
        <x:v>0</x:v>
      </x:c>
    </x:row>
    <x:row r="54" ht="23" customHeight="1">
      <x:c r="A54" s="9" t="str">
        <x:v>S007-WAT-01</x:v>
      </x:c>
      <x:c r="B54" s="3" t="str">
        <x:v>Q2T004</x:v>
      </x:c>
      <x:c r="C54" s="3" t="str">
        <x:v>S007</x:v>
      </x:c>
      <x:c r="D54" s="3" t="n">
        <x:v>1141.2993198680992</x:v>
      </x:c>
      <x:c r="E54" s="3" t="str">
        <x:v>饮用水</x:v>
      </x:c>
      <x:c r="F54" s="3" t="n">
        <x:v>14</x:v>
      </x:c>
      <x:c r="G54" s="3" t="n">
        <x:v>0.027</x:v>
      </x:c>
      <x:c r="H54" s="3" t="n">
        <x:v>3600</x:v>
      </x:c>
      <x:c r="I54" s="3" t="n">
        <x:v>3600</x:v>
      </x:c>
      <x:c r="J54" s="3" t="n">
        <x:v>12</x:v>
      </x:c>
      <x:c r="K54" s="3" t="n">
        <x:f>MAX(0,D54-H54)</x:f>
        <x:v>0</x:v>
      </x:c>
      <x:c r="L54" s="3" t="n">
        <x:f>J54*K54/H54</x:f>
        <x:v>0</x:v>
      </x:c>
      <x:c r="M54" s="18" t="b">
        <x:v>1</x:v>
      </x:c>
      <x:c r="N54" s="13" t="n">
        <x:f>IF(I54="",0,IF(D54&gt;I54,1,0))</x:f>
        <x:v>0</x:v>
      </x:c>
    </x:row>
    <x:row r="55" ht="23" customHeight="1">
      <x:c r="A55" s="10" t="str">
        <x:v>S007-WAT-02</x:v>
      </x:c>
      <x:c r="B55" s="8" t="str">
        <x:v>Q2T001</x:v>
      </x:c>
      <x:c r="C55" s="8" t="str">
        <x:v>S007</x:v>
      </x:c>
      <x:c r="D55" s="8" t="n">
        <x:v>1141.2993198680992</x:v>
      </x:c>
      <x:c r="E55" s="8" t="str">
        <x:v>饮用水</x:v>
      </x:c>
      <x:c r="F55" s="8" t="n">
        <x:v>14</x:v>
      </x:c>
      <x:c r="G55" s="8" t="n">
        <x:v>0.027</x:v>
      </x:c>
      <x:c r="H55" s="8" t="n">
        <x:v>3600</x:v>
      </x:c>
      <x:c r="I55" s="8"/>
      <x:c r="J55" s="8" t="n">
        <x:v>12</x:v>
      </x:c>
      <x:c r="K55" s="8" t="n">
        <x:f>MAX(0,D55-H55)</x:f>
        <x:v>0</x:v>
      </x:c>
      <x:c r="L55" s="8" t="n">
        <x:f>J55*K55/H55</x:f>
        <x:v>0</x:v>
      </x:c>
      <x:c r="M55" s="19" t="b">
        <x:v>0</x:v>
      </x:c>
      <x:c r="N55" s="14" t="n">
        <x:f>IF(I55="",0,IF(D55&gt;I55,1,0))</x:f>
        <x:v>0</x:v>
      </x:c>
    </x:row>
    <x:row r="56" ht="23" customHeight="1">
      <x:c r="A56" s="9" t="str">
        <x:v>S008-FOD-01</x:v>
      </x:c>
      <x:c r="B56" s="3" t="str">
        <x:v>Q2T018</x:v>
      </x:c>
      <x:c r="C56" s="3" t="str">
        <x:v>S008</x:v>
      </x:c>
      <x:c r="D56" s="3" t="n">
        <x:v>6993.1960631500615</x:v>
      </x:c>
      <x:c r="E56" s="3" t="str">
        <x:v>应急食品</x:v>
      </x:c>
      <x:c r="F56" s="3" t="n">
        <x:v>8</x:v>
      </x:c>
      <x:c r="G56" s="3" t="n">
        <x:v>0.028</x:v>
      </x:c>
      <x:c r="H56" s="3" t="n">
        <x:v>10800</x:v>
      </x:c>
      <x:c r="I56" s="3"/>
      <x:c r="J56" s="3" t="n">
        <x:v>8</x:v>
      </x:c>
      <x:c r="K56" s="3" t="n">
        <x:f>MAX(0,D56-H56)</x:f>
        <x:v>0</x:v>
      </x:c>
      <x:c r="L56" s="3" t="n">
        <x:f>J56*K56/H56</x:f>
        <x:v>0</x:v>
      </x:c>
      <x:c r="M56" s="18" t="b">
        <x:v>0</x:v>
      </x:c>
      <x:c r="N56" s="13" t="n">
        <x:f>IF(I56="",0,IF(D56&gt;I56,1,0))</x:f>
        <x:v>0</x:v>
      </x:c>
    </x:row>
    <x:row r="57" ht="23" customHeight="1">
      <x:c r="A57" s="10" t="str">
        <x:v>S008-HYG-01</x:v>
      </x:c>
      <x:c r="B57" s="8" t="str">
        <x:v>Q2T018</x:v>
      </x:c>
      <x:c r="C57" s="8" t="str">
        <x:v>S008</x:v>
      </x:c>
      <x:c r="D57" s="8" t="n">
        <x:v>6993.1960631500615</x:v>
      </x:c>
      <x:c r="E57" s="8" t="str">
        <x:v>生活卫生用品</x:v>
      </x:c>
      <x:c r="F57" s="8" t="n">
        <x:v>6</x:v>
      </x:c>
      <x:c r="G57" s="8" t="n">
        <x:v>0.035</x:v>
      </x:c>
      <x:c r="H57" s="8" t="n">
        <x:v>14400</x:v>
      </x:c>
      <x:c r="I57" s="8"/>
      <x:c r="J57" s="8" t="n">
        <x:v>6</x:v>
      </x:c>
      <x:c r="K57" s="8" t="n">
        <x:f>MAX(0,D57-H57)</x:f>
        <x:v>0</x:v>
      </x:c>
      <x:c r="L57" s="8" t="n">
        <x:f>J57*K57/H57</x:f>
        <x:v>0</x:v>
      </x:c>
      <x:c r="M57" s="19" t="b">
        <x:v>0</x:v>
      </x:c>
      <x:c r="N57" s="14" t="n">
        <x:f>IF(I57="",0,IF(D57&gt;I57,1,0))</x:f>
        <x:v>0</x:v>
      </x:c>
    </x:row>
    <x:row r="58" ht="23" customHeight="1">
      <x:c r="A58" s="9" t="str">
        <x:v>S008-MED-01</x:v>
      </x:c>
      <x:c r="B58" s="3" t="str">
        <x:v>Q2T018</x:v>
      </x:c>
      <x:c r="C58" s="3" t="str">
        <x:v>S008</x:v>
      </x:c>
      <x:c r="D58" s="3" t="n">
        <x:v>6993.1960631500615</x:v>
      </x:c>
      <x:c r="E58" s="3" t="str">
        <x:v>医疗物资</x:v>
      </x:c>
      <x:c r="F58" s="3" t="n">
        <x:v>3</x:v>
      </x:c>
      <x:c r="G58" s="3" t="n">
        <x:v>0.012</x:v>
      </x:c>
      <x:c r="H58" s="3" t="n">
        <x:v>7200</x:v>
      </x:c>
      <x:c r="I58" s="3" t="n">
        <x:v>7200</x:v>
      </x:c>
      <x:c r="J58" s="3" t="n">
        <x:v>20</x:v>
      </x:c>
      <x:c r="K58" s="3" t="n">
        <x:f>MAX(0,D58-H58)</x:f>
        <x:v>0</x:v>
      </x:c>
      <x:c r="L58" s="3" t="n">
        <x:f>J58*K58/H58</x:f>
        <x:v>0</x:v>
      </x:c>
      <x:c r="M58" s="18" t="b">
        <x:v>1</x:v>
      </x:c>
      <x:c r="N58" s="13" t="n">
        <x:f>IF(I58="",0,IF(D58&gt;I58,1,0))</x:f>
        <x:v>0</x:v>
      </x:c>
    </x:row>
    <x:row r="59" ht="23" customHeight="1">
      <x:c r="A59" s="10" t="str">
        <x:v>S008-WAT-01</x:v>
      </x:c>
      <x:c r="B59" s="8" t="str">
        <x:v>Q2T018</x:v>
      </x:c>
      <x:c r="C59" s="8" t="str">
        <x:v>S008</x:v>
      </x:c>
      <x:c r="D59" s="8" t="n">
        <x:v>6993.1960631500615</x:v>
      </x:c>
      <x:c r="E59" s="8" t="str">
        <x:v>饮用水</x:v>
      </x:c>
      <x:c r="F59" s="8" t="n">
        <x:v>14</x:v>
      </x:c>
      <x:c r="G59" s="8" t="n">
        <x:v>0.027</x:v>
      </x:c>
      <x:c r="H59" s="8" t="n">
        <x:v>7200</x:v>
      </x:c>
      <x:c r="I59" s="8" t="n">
        <x:v>7200</x:v>
      </x:c>
      <x:c r="J59" s="8" t="n">
        <x:v>10</x:v>
      </x:c>
      <x:c r="K59" s="8" t="n">
        <x:f>MAX(0,D59-H59)</x:f>
        <x:v>0</x:v>
      </x:c>
      <x:c r="L59" s="8" t="n">
        <x:f>J59*K59/H59</x:f>
        <x:v>0</x:v>
      </x:c>
      <x:c r="M59" s="19" t="b">
        <x:v>1</x:v>
      </x:c>
      <x:c r="N59" s="14" t="n">
        <x:f>IF(I59="",0,IF(D59&gt;I59,1,0))</x:f>
        <x:v>0</x:v>
      </x:c>
    </x:row>
    <x:row r="60" ht="23" customHeight="1">
      <x:c r="A60" s="9" t="str">
        <x:v>S008-WAT-02</x:v>
      </x:c>
      <x:c r="B60" s="3" t="str">
        <x:v>Q2T018</x:v>
      </x:c>
      <x:c r="C60" s="3" t="str">
        <x:v>S008</x:v>
      </x:c>
      <x:c r="D60" s="3" t="n">
        <x:v>6993.1960631500615</x:v>
      </x:c>
      <x:c r="E60" s="3" t="str">
        <x:v>饮用水</x:v>
      </x:c>
      <x:c r="F60" s="3" t="n">
        <x:v>14</x:v>
      </x:c>
      <x:c r="G60" s="3" t="n">
        <x:v>0.027</x:v>
      </x:c>
      <x:c r="H60" s="3" t="n">
        <x:v>7200</x:v>
      </x:c>
      <x:c r="I60" s="3"/>
      <x:c r="J60" s="3" t="n">
        <x:v>10</x:v>
      </x:c>
      <x:c r="K60" s="3" t="n">
        <x:f>MAX(0,D60-H60)</x:f>
        <x:v>0</x:v>
      </x:c>
      <x:c r="L60" s="3" t="n">
        <x:f>J60*K60/H60</x:f>
        <x:v>0</x:v>
      </x:c>
      <x:c r="M60" s="18" t="b">
        <x:v>0</x:v>
      </x:c>
      <x:c r="N60" s="13" t="n">
        <x:f>IF(I60="",0,IF(D60&gt;I60,1,0))</x:f>
        <x:v>0</x:v>
      </x:c>
    </x:row>
    <x:row r="61" ht="23" customHeight="1">
      <x:c r="A61" s="10" t="str">
        <x:v>S009-FOD-01</x:v>
      </x:c>
      <x:c r="B61" s="8" t="str">
        <x:v>Q2T019</x:v>
      </x:c>
      <x:c r="C61" s="8" t="str">
        <x:v>S009</x:v>
      </x:c>
      <x:c r="D61" s="8" t="n">
        <x:v>6681.839539581906</x:v>
      </x:c>
      <x:c r="E61" s="8" t="str">
        <x:v>应急食品</x:v>
      </x:c>
      <x:c r="F61" s="8" t="n">
        <x:v>8</x:v>
      </x:c>
      <x:c r="G61" s="8" t="n">
        <x:v>0.028</x:v>
      </x:c>
      <x:c r="H61" s="8" t="n">
        <x:v>14400</x:v>
      </x:c>
      <x:c r="I61" s="8"/>
      <x:c r="J61" s="8" t="n">
        <x:v>6</x:v>
      </x:c>
      <x:c r="K61" s="8" t="n">
        <x:f>MAX(0,D61-H61)</x:f>
        <x:v>0</x:v>
      </x:c>
      <x:c r="L61" s="8" t="n">
        <x:f>J61*K61/H61</x:f>
        <x:v>0</x:v>
      </x:c>
      <x:c r="M61" s="19" t="b">
        <x:v>0</x:v>
      </x:c>
      <x:c r="N61" s="14" t="n">
        <x:f>IF(I61="",0,IF(D61&gt;I61,1,0))</x:f>
        <x:v>0</x:v>
      </x:c>
    </x:row>
    <x:row r="62" ht="23" customHeight="1">
      <x:c r="A62" s="9" t="str">
        <x:v>S009-MED-01</x:v>
      </x:c>
      <x:c r="B62" s="3" t="str">
        <x:v>Q2T019</x:v>
      </x:c>
      <x:c r="C62" s="3" t="str">
        <x:v>S009</x:v>
      </x:c>
      <x:c r="D62" s="3" t="n">
        <x:v>6681.839539581906</x:v>
      </x:c>
      <x:c r="E62" s="3" t="str">
        <x:v>医疗物资</x:v>
      </x:c>
      <x:c r="F62" s="3" t="n">
        <x:v>3</x:v>
      </x:c>
      <x:c r="G62" s="3" t="n">
        <x:v>0.012</x:v>
      </x:c>
      <x:c r="H62" s="3" t="n">
        <x:v>10800</x:v>
      </x:c>
      <x:c r="I62" s="3" t="n">
        <x:v>10800</x:v>
      </x:c>
      <x:c r="J62" s="3" t="n">
        <x:v>16</x:v>
      </x:c>
      <x:c r="K62" s="3" t="n">
        <x:f>MAX(0,D62-H62)</x:f>
        <x:v>0</x:v>
      </x:c>
      <x:c r="L62" s="3" t="n">
        <x:f>J62*K62/H62</x:f>
        <x:v>0</x:v>
      </x:c>
      <x:c r="M62" s="18" t="b">
        <x:v>1</x:v>
      </x:c>
      <x:c r="N62" s="13" t="n">
        <x:f>IF(I62="",0,IF(D62&gt;I62,1,0))</x:f>
        <x:v>0</x:v>
      </x:c>
    </x:row>
    <x:row r="63" ht="23" customHeight="1">
      <x:c r="A63" s="10" t="str">
        <x:v>S009-WAT-01</x:v>
      </x:c>
      <x:c r="B63" s="8" t="str">
        <x:v>Q2T019</x:v>
      </x:c>
      <x:c r="C63" s="8" t="str">
        <x:v>S009</x:v>
      </x:c>
      <x:c r="D63" s="8" t="n">
        <x:v>6681.839539581906</x:v>
      </x:c>
      <x:c r="E63" s="8" t="str">
        <x:v>饮用水</x:v>
      </x:c>
      <x:c r="F63" s="8" t="n">
        <x:v>14</x:v>
      </x:c>
      <x:c r="G63" s="8" t="n">
        <x:v>0.027</x:v>
      </x:c>
      <x:c r="H63" s="8" t="n">
        <x:v>10800</x:v>
      </x:c>
      <x:c r="I63" s="8" t="n">
        <x:v>10800</x:v>
      </x:c>
      <x:c r="J63" s="8" t="n">
        <x:v>8</x:v>
      </x:c>
      <x:c r="K63" s="8" t="n">
        <x:f>MAX(0,D63-H63)</x:f>
        <x:v>0</x:v>
      </x:c>
      <x:c r="L63" s="8" t="n">
        <x:f>J63*K63/H63</x:f>
        <x:v>0</x:v>
      </x:c>
      <x:c r="M63" s="19" t="b">
        <x:v>1</x:v>
      </x:c>
      <x:c r="N63" s="14" t="n">
        <x:f>IF(I63="",0,IF(D63&gt;I63,1,0))</x:f>
        <x:v>0</x:v>
      </x:c>
    </x:row>
    <x:row r="64" ht="23" customHeight="1">
      <x:c r="A64" s="9" t="str">
        <x:v>S010-FOD-01</x:v>
      </x:c>
      <x:c r="B64" s="3" t="str">
        <x:v>Q2T002</x:v>
      </x:c>
      <x:c r="C64" s="3" t="str">
        <x:v>S010</x:v>
      </x:c>
      <x:c r="D64" s="3" t="n">
        <x:v>1104.4634512744026</x:v>
      </x:c>
      <x:c r="E64" s="3" t="str">
        <x:v>应急食品</x:v>
      </x:c>
      <x:c r="F64" s="3" t="n">
        <x:v>8</x:v>
      </x:c>
      <x:c r="G64" s="3" t="n">
        <x:v>0.028</x:v>
      </x:c>
      <x:c r="H64" s="3" t="n">
        <x:v>7200</x:v>
      </x:c>
      <x:c r="I64" s="3"/>
      <x:c r="J64" s="3" t="n">
        <x:v>10</x:v>
      </x:c>
      <x:c r="K64" s="3" t="n">
        <x:f>MAX(0,D64-H64)</x:f>
        <x:v>0</x:v>
      </x:c>
      <x:c r="L64" s="3" t="n">
        <x:f>J64*K64/H64</x:f>
        <x:v>0</x:v>
      </x:c>
      <x:c r="M64" s="18" t="b">
        <x:v>0</x:v>
      </x:c>
      <x:c r="N64" s="13" t="n">
        <x:f>IF(I64="",0,IF(D64&gt;I64,1,0))</x:f>
        <x:v>0</x:v>
      </x:c>
    </x:row>
    <x:row r="65" ht="23" customHeight="1">
      <x:c r="A65" s="10" t="str">
        <x:v>S010-MED-01</x:v>
      </x:c>
      <x:c r="B65" s="8" t="str">
        <x:v>Q2T002</x:v>
      </x:c>
      <x:c r="C65" s="8" t="str">
        <x:v>S010</x:v>
      </x:c>
      <x:c r="D65" s="8" t="n">
        <x:v>1104.4634512744026</x:v>
      </x:c>
      <x:c r="E65" s="8" t="str">
        <x:v>医疗物资</x:v>
      </x:c>
      <x:c r="F65" s="8" t="n">
        <x:v>3</x:v>
      </x:c>
      <x:c r="G65" s="8" t="n">
        <x:v>0.012</x:v>
      </x:c>
      <x:c r="H65" s="8" t="n">
        <x:v>3600</x:v>
      </x:c>
      <x:c r="I65" s="8" t="n">
        <x:v>3600</x:v>
      </x:c>
      <x:c r="J65" s="8" t="n">
        <x:v>24</x:v>
      </x:c>
      <x:c r="K65" s="8" t="n">
        <x:f>MAX(0,D65-H65)</x:f>
        <x:v>0</x:v>
      </x:c>
      <x:c r="L65" s="8" t="n">
        <x:f>J65*K65/H65</x:f>
        <x:v>0</x:v>
      </x:c>
      <x:c r="M65" s="19" t="b">
        <x:v>1</x:v>
      </x:c>
      <x:c r="N65" s="14" t="n">
        <x:f>IF(I65="",0,IF(D65&gt;I65,1,0))</x:f>
        <x:v>0</x:v>
      </x:c>
    </x:row>
    <x:row r="66" ht="23" customHeight="1">
      <x:c r="A66" s="9" t="str">
        <x:v>S010-WAT-01</x:v>
      </x:c>
      <x:c r="B66" s="3" t="str">
        <x:v>Q2T003</x:v>
      </x:c>
      <x:c r="C66" s="3" t="str">
        <x:v>S010</x:v>
      </x:c>
      <x:c r="D66" s="3" t="n">
        <x:v>1044.4634512744026</x:v>
      </x:c>
      <x:c r="E66" s="3" t="str">
        <x:v>饮用水</x:v>
      </x:c>
      <x:c r="F66" s="3" t="n">
        <x:v>14</x:v>
      </x:c>
      <x:c r="G66" s="3" t="n">
        <x:v>0.027</x:v>
      </x:c>
      <x:c r="H66" s="3" t="n">
        <x:v>3600</x:v>
      </x:c>
      <x:c r="I66" s="3" t="n">
        <x:v>3600</x:v>
      </x:c>
      <x:c r="J66" s="3" t="n">
        <x:v>12</x:v>
      </x:c>
      <x:c r="K66" s="3" t="n">
        <x:f>MAX(0,D66-H66)</x:f>
        <x:v>0</x:v>
      </x:c>
      <x:c r="L66" s="3" t="n">
        <x:f>J66*K66/H66</x:f>
        <x:v>0</x:v>
      </x:c>
      <x:c r="M66" s="18" t="b">
        <x:v>1</x:v>
      </x:c>
      <x:c r="N66" s="13" t="n">
        <x:f>IF(I66="",0,IF(D66&gt;I66,1,0))</x:f>
        <x:v>0</x:v>
      </x:c>
    </x:row>
    <x:row r="67" ht="23" customHeight="1">
      <x:c r="A67" s="10" t="str">
        <x:v>S011-FOD-01</x:v>
      </x:c>
      <x:c r="B67" s="8" t="str">
        <x:v>Q2T015</x:v>
      </x:c>
      <x:c r="C67" s="8" t="str">
        <x:v>S011</x:v>
      </x:c>
      <x:c r="D67" s="8" t="n">
        <x:v>4691.406562378818</x:v>
      </x:c>
      <x:c r="E67" s="8" t="str">
        <x:v>应急食品</x:v>
      </x:c>
      <x:c r="F67" s="8" t="n">
        <x:v>8</x:v>
      </x:c>
      <x:c r="G67" s="8" t="n">
        <x:v>0.028</x:v>
      </x:c>
      <x:c r="H67" s="8" t="n">
        <x:v>14400</x:v>
      </x:c>
      <x:c r="I67" s="8"/>
      <x:c r="J67" s="8" t="n">
        <x:v>6</x:v>
      </x:c>
      <x:c r="K67" s="8" t="n">
        <x:f>MAX(0,D67-H67)</x:f>
        <x:v>0</x:v>
      </x:c>
      <x:c r="L67" s="8" t="n">
        <x:f>J67*K67/H67</x:f>
        <x:v>0</x:v>
      </x:c>
      <x:c r="M67" s="19" t="b">
        <x:v>0</x:v>
      </x:c>
      <x:c r="N67" s="14" t="n">
        <x:f>IF(I67="",0,IF(D67&gt;I67,1,0))</x:f>
        <x:v>0</x:v>
      </x:c>
    </x:row>
    <x:row r="68" ht="23" customHeight="1">
      <x:c r="A68" s="9" t="str">
        <x:v>S011-MED-01</x:v>
      </x:c>
      <x:c r="B68" s="3" t="str">
        <x:v>Q2T015</x:v>
      </x:c>
      <x:c r="C68" s="3" t="str">
        <x:v>S011</x:v>
      </x:c>
      <x:c r="D68" s="3" t="n">
        <x:v>4691.406562378818</x:v>
      </x:c>
      <x:c r="E68" s="3" t="str">
        <x:v>医疗物资</x:v>
      </x:c>
      <x:c r="F68" s="3" t="n">
        <x:v>3</x:v>
      </x:c>
      <x:c r="G68" s="3" t="n">
        <x:v>0.012</x:v>
      </x:c>
      <x:c r="H68" s="3" t="n">
        <x:v>10800</x:v>
      </x:c>
      <x:c r="I68" s="3" t="n">
        <x:v>10800</x:v>
      </x:c>
      <x:c r="J68" s="3" t="n">
        <x:v>16</x:v>
      </x:c>
      <x:c r="K68" s="3" t="n">
        <x:f>MAX(0,D68-H68)</x:f>
        <x:v>0</x:v>
      </x:c>
      <x:c r="L68" s="3" t="n">
        <x:f>J68*K68/H68</x:f>
        <x:v>0</x:v>
      </x:c>
      <x:c r="M68" s="18" t="b">
        <x:v>1</x:v>
      </x:c>
      <x:c r="N68" s="13" t="n">
        <x:f>IF(I68="",0,IF(D68&gt;I68,1,0))</x:f>
        <x:v>0</x:v>
      </x:c>
    </x:row>
    <x:row r="69" ht="23" customHeight="1">
      <x:c r="A69" s="10" t="str">
        <x:v>S011-WAT-01</x:v>
      </x:c>
      <x:c r="B69" s="8" t="str">
        <x:v>Q2T015</x:v>
      </x:c>
      <x:c r="C69" s="8" t="str">
        <x:v>S011</x:v>
      </x:c>
      <x:c r="D69" s="8" t="n">
        <x:v>4691.406562378818</x:v>
      </x:c>
      <x:c r="E69" s="8" t="str">
        <x:v>饮用水</x:v>
      </x:c>
      <x:c r="F69" s="8" t="n">
        <x:v>14</x:v>
      </x:c>
      <x:c r="G69" s="8" t="n">
        <x:v>0.027</x:v>
      </x:c>
      <x:c r="H69" s="8" t="n">
        <x:v>10800</x:v>
      </x:c>
      <x:c r="I69" s="8" t="n">
        <x:v>10800</x:v>
      </x:c>
      <x:c r="J69" s="8" t="n">
        <x:v>8</x:v>
      </x:c>
      <x:c r="K69" s="8" t="n">
        <x:f>MAX(0,D69-H69)</x:f>
        <x:v>0</x:v>
      </x:c>
      <x:c r="L69" s="8" t="n">
        <x:f>J69*K69/H69</x:f>
        <x:v>0</x:v>
      </x:c>
      <x:c r="M69" s="19" t="b">
        <x:v>1</x:v>
      </x:c>
      <x:c r="N69" s="14" t="n">
        <x:f>IF(I69="",0,IF(D69&gt;I69,1,0))</x:f>
        <x:v>0</x:v>
      </x:c>
    </x:row>
    <x:row r="70" ht="23" customHeight="1">
      <x:c r="A70" s="9" t="str">
        <x:v>S012-FOD-01</x:v>
      </x:c>
      <x:c r="B70" s="3" t="str">
        <x:v>Q2T005</x:v>
      </x:c>
      <x:c r="C70" s="3" t="str">
        <x:v>S012</x:v>
      </x:c>
      <x:c r="D70" s="3" t="n">
        <x:v>1271.8307003260657</x:v>
      </x:c>
      <x:c r="E70" s="3" t="str">
        <x:v>应急食品</x:v>
      </x:c>
      <x:c r="F70" s="3" t="n">
        <x:v>8</x:v>
      </x:c>
      <x:c r="G70" s="3" t="n">
        <x:v>0.028</x:v>
      </x:c>
      <x:c r="H70" s="3" t="n">
        <x:v>7200</x:v>
      </x:c>
      <x:c r="I70" s="3"/>
      <x:c r="J70" s="3" t="n">
        <x:v>10</x:v>
      </x:c>
      <x:c r="K70" s="3" t="n">
        <x:f>MAX(0,D70-H70)</x:f>
        <x:v>0</x:v>
      </x:c>
      <x:c r="L70" s="3" t="n">
        <x:f>J70*K70/H70</x:f>
        <x:v>0</x:v>
      </x:c>
      <x:c r="M70" s="18" t="b">
        <x:v>0</x:v>
      </x:c>
      <x:c r="N70" s="13" t="n">
        <x:f>IF(I70="",0,IF(D70&gt;I70,1,0))</x:f>
        <x:v>0</x:v>
      </x:c>
    </x:row>
    <x:row r="71" ht="23" customHeight="1">
      <x:c r="A71" s="10" t="str">
        <x:v>S012-MED-01</x:v>
      </x:c>
      <x:c r="B71" s="8" t="str">
        <x:v>Q2T005</x:v>
      </x:c>
      <x:c r="C71" s="8" t="str">
        <x:v>S012</x:v>
      </x:c>
      <x:c r="D71" s="8" t="n">
        <x:v>1271.8307003260657</x:v>
      </x:c>
      <x:c r="E71" s="8" t="str">
        <x:v>医疗物资</x:v>
      </x:c>
      <x:c r="F71" s="8" t="n">
        <x:v>3</x:v>
      </x:c>
      <x:c r="G71" s="8" t="n">
        <x:v>0.012</x:v>
      </x:c>
      <x:c r="H71" s="8" t="n">
        <x:v>7200</x:v>
      </x:c>
      <x:c r="I71" s="8" t="n">
        <x:v>3600</x:v>
      </x:c>
      <x:c r="J71" s="8" t="n">
        <x:v>22</x:v>
      </x:c>
      <x:c r="K71" s="8" t="n">
        <x:f>MAX(0,D71-H71)</x:f>
        <x:v>0</x:v>
      </x:c>
      <x:c r="L71" s="8" t="n">
        <x:f>J71*K71/H71</x:f>
        <x:v>0</x:v>
      </x:c>
      <x:c r="M71" s="19" t="b">
        <x:v>1</x:v>
      </x:c>
      <x:c r="N71" s="14" t="n">
        <x:f>IF(I71="",0,IF(D71&gt;I71,1,0))</x:f>
        <x:v>0</x:v>
      </x:c>
    </x:row>
    <x:row r="72" ht="23" customHeight="1">
      <x:c r="A72" s="9" t="str">
        <x:v>S012-WAT-01</x:v>
      </x:c>
      <x:c r="B72" s="3" t="str">
        <x:v>Q2T005</x:v>
      </x:c>
      <x:c r="C72" s="3" t="str">
        <x:v>S012</x:v>
      </x:c>
      <x:c r="D72" s="3" t="n">
        <x:v>1271.8307003260657</x:v>
      </x:c>
      <x:c r="E72" s="3" t="str">
        <x:v>饮用水</x:v>
      </x:c>
      <x:c r="F72" s="3" t="n">
        <x:v>14</x:v>
      </x:c>
      <x:c r="G72" s="3" t="n">
        <x:v>0.027</x:v>
      </x:c>
      <x:c r="H72" s="3" t="n">
        <x:v>3600</x:v>
      </x:c>
      <x:c r="I72" s="3" t="n">
        <x:v>3600</x:v>
      </x:c>
      <x:c r="J72" s="3" t="n">
        <x:v>12</x:v>
      </x:c>
      <x:c r="K72" s="3" t="n">
        <x:f>MAX(0,D72-H72)</x:f>
        <x:v>0</x:v>
      </x:c>
      <x:c r="L72" s="3" t="n">
        <x:f>J72*K72/H72</x:f>
        <x:v>0</x:v>
      </x:c>
      <x:c r="M72" s="18" t="b">
        <x:v>1</x:v>
      </x:c>
      <x:c r="N72" s="13" t="n">
        <x:f>IF(I72="",0,IF(D72&gt;I72,1,0))</x:f>
        <x:v>0</x:v>
      </x:c>
    </x:row>
    <x:row r="73" ht="23" customHeight="1">
      <x:c r="A73" s="10" t="str">
        <x:v>S013-FOD-01</x:v>
      </x:c>
      <x:c r="B73" s="8" t="str">
        <x:v>Q2T006</x:v>
      </x:c>
      <x:c r="C73" s="8" t="str">
        <x:v>S013</x:v>
      </x:c>
      <x:c r="D73" s="8" t="n">
        <x:v>1062.733804063003</x:v>
      </x:c>
      <x:c r="E73" s="8" t="str">
        <x:v>应急食品</x:v>
      </x:c>
      <x:c r="F73" s="8" t="n">
        <x:v>8</x:v>
      </x:c>
      <x:c r="G73" s="8" t="n">
        <x:v>0.028</x:v>
      </x:c>
      <x:c r="H73" s="8" t="n">
        <x:v>7200</x:v>
      </x:c>
      <x:c r="I73" s="8"/>
      <x:c r="J73" s="8" t="n">
        <x:v>10</x:v>
      </x:c>
      <x:c r="K73" s="8" t="n">
        <x:f>MAX(0,D73-H73)</x:f>
        <x:v>0</x:v>
      </x:c>
      <x:c r="L73" s="8" t="n">
        <x:f>J73*K73/H73</x:f>
        <x:v>0</x:v>
      </x:c>
      <x:c r="M73" s="19" t="b">
        <x:v>0</x:v>
      </x:c>
      <x:c r="N73" s="14" t="n">
        <x:f>IF(I73="",0,IF(D73&gt;I73,1,0))</x:f>
        <x:v>0</x:v>
      </x:c>
    </x:row>
    <x:row r="74" ht="23" customHeight="1">
      <x:c r="A74" s="9" t="str">
        <x:v>S013-MED-01</x:v>
      </x:c>
      <x:c r="B74" s="3" t="str">
        <x:v>Q2T006</x:v>
      </x:c>
      <x:c r="C74" s="3" t="str">
        <x:v>S013</x:v>
      </x:c>
      <x:c r="D74" s="3" t="n">
        <x:v>1062.733804063003</x:v>
      </x:c>
      <x:c r="E74" s="3" t="str">
        <x:v>医疗物资</x:v>
      </x:c>
      <x:c r="F74" s="3" t="n">
        <x:v>3</x:v>
      </x:c>
      <x:c r="G74" s="3" t="n">
        <x:v>0.012</x:v>
      </x:c>
      <x:c r="H74" s="3" t="n">
        <x:v>3600</x:v>
      </x:c>
      <x:c r="I74" s="3" t="n">
        <x:v>3600</x:v>
      </x:c>
      <x:c r="J74" s="3" t="n">
        <x:v>24</x:v>
      </x:c>
      <x:c r="K74" s="3" t="n">
        <x:f>MAX(0,D74-H74)</x:f>
        <x:v>0</x:v>
      </x:c>
      <x:c r="L74" s="3" t="n">
        <x:f>J74*K74/H74</x:f>
        <x:v>0</x:v>
      </x:c>
      <x:c r="M74" s="18" t="b">
        <x:v>1</x:v>
      </x:c>
      <x:c r="N74" s="13" t="n">
        <x:f>IF(I74="",0,IF(D74&gt;I74,1,0))</x:f>
        <x:v>0</x:v>
      </x:c>
    </x:row>
    <x:row r="75" ht="23" customHeight="1">
      <x:c r="A75" s="10" t="str">
        <x:v>S013-WAT-01</x:v>
      </x:c>
      <x:c r="B75" s="8" t="str">
        <x:v>Q2T006</x:v>
      </x:c>
      <x:c r="C75" s="8" t="str">
        <x:v>S013</x:v>
      </x:c>
      <x:c r="D75" s="8" t="n">
        <x:v>1062.733804063003</x:v>
      </x:c>
      <x:c r="E75" s="8" t="str">
        <x:v>饮用水</x:v>
      </x:c>
      <x:c r="F75" s="8" t="n">
        <x:v>14</x:v>
      </x:c>
      <x:c r="G75" s="8" t="n">
        <x:v>0.027</x:v>
      </x:c>
      <x:c r="H75" s="8" t="n">
        <x:v>3600</x:v>
      </x:c>
      <x:c r="I75" s="8" t="n">
        <x:v>3600</x:v>
      </x:c>
      <x:c r="J75" s="8" t="n">
        <x:v>12</x:v>
      </x:c>
      <x:c r="K75" s="8" t="n">
        <x:f>MAX(0,D75-H75)</x:f>
        <x:v>0</x:v>
      </x:c>
      <x:c r="L75" s="8" t="n">
        <x:f>J75*K75/H75</x:f>
        <x:v>0</x:v>
      </x:c>
      <x:c r="M75" s="19" t="b">
        <x:v>1</x:v>
      </x:c>
      <x:c r="N75" s="14" t="n">
        <x:f>IF(I75="",0,IF(D75&gt;I75,1,0))</x:f>
        <x:v>0</x:v>
      </x:c>
    </x:row>
    <x:row r="76" ht="23" customHeight="1">
      <x:c r="A76" s="9" t="str">
        <x:v>S014-FOD-01</x:v>
      </x:c>
      <x:c r="B76" s="3" t="str">
        <x:v>Q2T010</x:v>
      </x:c>
      <x:c r="C76" s="3" t="str">
        <x:v>S014</x:v>
      </x:c>
      <x:c r="D76" s="3" t="n">
        <x:v>2752.256832060527</x:v>
      </x:c>
      <x:c r="E76" s="3" t="str">
        <x:v>应急食品</x:v>
      </x:c>
      <x:c r="F76" s="3" t="n">
        <x:v>8</x:v>
      </x:c>
      <x:c r="G76" s="3" t="n">
        <x:v>0.028</x:v>
      </x:c>
      <x:c r="H76" s="3" t="n">
        <x:v>7200</x:v>
      </x:c>
      <x:c r="I76" s="3"/>
      <x:c r="J76" s="3" t="n">
        <x:v>10</x:v>
      </x:c>
      <x:c r="K76" s="3" t="n">
        <x:f>MAX(0,D76-H76)</x:f>
        <x:v>0</x:v>
      </x:c>
      <x:c r="L76" s="3" t="n">
        <x:f>J76*K76/H76</x:f>
        <x:v>0</x:v>
      </x:c>
      <x:c r="M76" s="18" t="b">
        <x:v>0</x:v>
      </x:c>
      <x:c r="N76" s="13" t="n">
        <x:f>IF(I76="",0,IF(D76&gt;I76,1,0))</x:f>
        <x:v>0</x:v>
      </x:c>
    </x:row>
    <x:row r="77" ht="23" customHeight="1">
      <x:c r="A77" s="10" t="str">
        <x:v>S014-MED-01</x:v>
      </x:c>
      <x:c r="B77" s="8" t="str">
        <x:v>Q2T010</x:v>
      </x:c>
      <x:c r="C77" s="8" t="str">
        <x:v>S014</x:v>
      </x:c>
      <x:c r="D77" s="8" t="n">
        <x:v>2752.256832060527</x:v>
      </x:c>
      <x:c r="E77" s="8" t="str">
        <x:v>医疗物资</x:v>
      </x:c>
      <x:c r="F77" s="8" t="n">
        <x:v>3</x:v>
      </x:c>
      <x:c r="G77" s="8" t="n">
        <x:v>0.012</x:v>
      </x:c>
      <x:c r="H77" s="8" t="n">
        <x:v>7200</x:v>
      </x:c>
      <x:c r="I77" s="8" t="n">
        <x:v>3600</x:v>
      </x:c>
      <x:c r="J77" s="8" t="n">
        <x:v>22</x:v>
      </x:c>
      <x:c r="K77" s="8" t="n">
        <x:f>MAX(0,D77-H77)</x:f>
        <x:v>0</x:v>
      </x:c>
      <x:c r="L77" s="8" t="n">
        <x:f>J77*K77/H77</x:f>
        <x:v>0</x:v>
      </x:c>
      <x:c r="M77" s="19" t="b">
        <x:v>1</x:v>
      </x:c>
      <x:c r="N77" s="14" t="n">
        <x:f>IF(I77="",0,IF(D77&gt;I77,1,0))</x:f>
        <x:v>0</x:v>
      </x:c>
    </x:row>
    <x:row r="78" ht="23" customHeight="1">
      <x:c r="A78" s="9" t="str">
        <x:v>S014-WAT-01</x:v>
      </x:c>
      <x:c r="B78" s="3" t="str">
        <x:v>Q2T010</x:v>
      </x:c>
      <x:c r="C78" s="3" t="str">
        <x:v>S014</x:v>
      </x:c>
      <x:c r="D78" s="3" t="n">
        <x:v>2752.256832060527</x:v>
      </x:c>
      <x:c r="E78" s="3" t="str">
        <x:v>饮用水</x:v>
      </x:c>
      <x:c r="F78" s="3" t="n">
        <x:v>14</x:v>
      </x:c>
      <x:c r="G78" s="3" t="n">
        <x:v>0.027</x:v>
      </x:c>
      <x:c r="H78" s="3" t="n">
        <x:v>3600</x:v>
      </x:c>
      <x:c r="I78" s="3" t="n">
        <x:v>3600</x:v>
      </x:c>
      <x:c r="J78" s="3" t="n">
        <x:v>12</x:v>
      </x:c>
      <x:c r="K78" s="3" t="n">
        <x:f>MAX(0,D78-H78)</x:f>
        <x:v>0</x:v>
      </x:c>
      <x:c r="L78" s="3" t="n">
        <x:f>J78*K78/H78</x:f>
        <x:v>0</x:v>
      </x:c>
      <x:c r="M78" s="18" t="b">
        <x:v>1</x:v>
      </x:c>
      <x:c r="N78" s="13" t="n">
        <x:f>IF(I78="",0,IF(D78&gt;I78,1,0))</x:f>
        <x:v>0</x:v>
      </x:c>
    </x:row>
    <x:row r="79" ht="23" customHeight="1">
      <x:c r="A79" s="10" t="str">
        <x:v>S015-FOD-01</x:v>
      </x:c>
      <x:c r="B79" s="8" t="str">
        <x:v>Q2T014</x:v>
      </x:c>
      <x:c r="C79" s="8" t="str">
        <x:v>S015</x:v>
      </x:c>
      <x:c r="D79" s="8" t="n">
        <x:v>4597.2264398363895</x:v>
      </x:c>
      <x:c r="E79" s="8" t="str">
        <x:v>应急食品</x:v>
      </x:c>
      <x:c r="F79" s="8" t="n">
        <x:v>8</x:v>
      </x:c>
      <x:c r="G79" s="8" t="n">
        <x:v>0.028</x:v>
      </x:c>
      <x:c r="H79" s="8" t="n">
        <x:v>14400</x:v>
      </x:c>
      <x:c r="I79" s="8"/>
      <x:c r="J79" s="8" t="n">
        <x:v>6</x:v>
      </x:c>
      <x:c r="K79" s="8" t="n">
        <x:f>MAX(0,D79-H79)</x:f>
        <x:v>0</x:v>
      </x:c>
      <x:c r="L79" s="8" t="n">
        <x:f>J79*K79/H79</x:f>
        <x:v>0</x:v>
      </x:c>
      <x:c r="M79" s="19" t="b">
        <x:v>0</x:v>
      </x:c>
      <x:c r="N79" s="14" t="n">
        <x:f>IF(I79="",0,IF(D79&gt;I79,1,0))</x:f>
        <x:v>0</x:v>
      </x:c>
    </x:row>
    <x:row r="80" ht="23" customHeight="1">
      <x:c r="A80" s="9" t="str">
        <x:v>S015-MED-01</x:v>
      </x:c>
      <x:c r="B80" s="3" t="str">
        <x:v>Q2T014</x:v>
      </x:c>
      <x:c r="C80" s="3" t="str">
        <x:v>S015</x:v>
      </x:c>
      <x:c r="D80" s="3" t="n">
        <x:v>4597.2264398363895</x:v>
      </x:c>
      <x:c r="E80" s="3" t="str">
        <x:v>医疗物资</x:v>
      </x:c>
      <x:c r="F80" s="3" t="n">
        <x:v>3</x:v>
      </x:c>
      <x:c r="G80" s="3" t="n">
        <x:v>0.012</x:v>
      </x:c>
      <x:c r="H80" s="3" t="n">
        <x:v>7200</x:v>
      </x:c>
      <x:c r="I80" s="3" t="n">
        <x:v>7200</x:v>
      </x:c>
      <x:c r="J80" s="3" t="n">
        <x:v>18</x:v>
      </x:c>
      <x:c r="K80" s="3" t="n">
        <x:f>MAX(0,D80-H80)</x:f>
        <x:v>0</x:v>
      </x:c>
      <x:c r="L80" s="3" t="n">
        <x:f>J80*K80/H80</x:f>
        <x:v>0</x:v>
      </x:c>
      <x:c r="M80" s="18" t="b">
        <x:v>1</x:v>
      </x:c>
      <x:c r="N80" s="13" t="n">
        <x:f>IF(I80="",0,IF(D80&gt;I80,1,0))</x:f>
        <x:v>0</x:v>
      </x:c>
    </x:row>
    <x:row r="81" ht="23" customHeight="1">
      <x:c r="A81" s="10" t="str">
        <x:v>S015-WAT-01</x:v>
      </x:c>
      <x:c r="B81" s="8" t="str">
        <x:v>Q2T014</x:v>
      </x:c>
      <x:c r="C81" s="8" t="str">
        <x:v>S015</x:v>
      </x:c>
      <x:c r="D81" s="8" t="n">
        <x:v>4597.2264398363895</x:v>
      </x:c>
      <x:c r="E81" s="8" t="str">
        <x:v>饮用水</x:v>
      </x:c>
      <x:c r="F81" s="8" t="n">
        <x:v>14</x:v>
      </x:c>
      <x:c r="G81" s="8" t="n">
        <x:v>0.027</x:v>
      </x:c>
      <x:c r="H81" s="8" t="n">
        <x:v>10800</x:v>
      </x:c>
      <x:c r="I81" s="8" t="n">
        <x:v>10800</x:v>
      </x:c>
      <x:c r="J81" s="8" t="n">
        <x:v>8</x:v>
      </x:c>
      <x:c r="K81" s="8" t="n">
        <x:f>MAX(0,D81-H81)</x:f>
        <x:v>0</x:v>
      </x:c>
      <x:c r="L81" s="8" t="n">
        <x:f>J81*K81/H81</x:f>
        <x:v>0</x:v>
      </x:c>
      <x:c r="M81" s="19" t="b">
        <x:v>1</x:v>
      </x:c>
      <x:c r="N81" s="14" t="n">
        <x:f>IF(I81="",0,IF(D81&gt;I81,1,0))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601d12ef634e5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40" customHeight="1">
      <x:c r="A1" s="7" t="str">
        <x:v>电池编号</x:v>
      </x:c>
      <x:c r="B1" s="7" t="str">
        <x:v>机型</x:v>
      </x:c>
      <x:c r="C1" s="7" t="str">
        <x:v>架次</x:v>
      </x:c>
      <x:c r="D1" s="7" t="str">
        <x:v>无人机</x:v>
      </x:c>
      <x:c r="E1" s="7" t="str">
        <x:v>任务开始（s）</x:v>
      </x:c>
      <x:c r="F1" s="7" t="str">
        <x:v>任务结束（s）</x:v>
      </x:c>
      <x:c r="G1" s="7" t="str">
        <x:v>起始SOC</x:v>
      </x:c>
      <x:c r="H1" s="7" t="str">
        <x:v>返航SOC</x:v>
      </x:c>
      <x:c r="I1" s="7" t="str">
        <x:v>充电开始（s）</x:v>
      </x:c>
      <x:c r="J1" s="7" t="str">
        <x:v>充电结束（s）</x:v>
      </x:c>
      <x:c r="K1" s="7" t="str">
        <x:v>充电时长（s）</x:v>
      </x:c>
    </x:row>
    <x:row r="2" ht="23" customHeight="1">
      <x:c r="A2" s="9" t="str">
        <x:v>BAT-A01</x:v>
      </x:c>
      <x:c r="B2" s="3" t="str">
        <x:v>A</x:v>
      </x:c>
      <x:c r="C2" s="3" t="str">
        <x:v>Q2T001</x:v>
      </x:c>
      <x:c r="D2" s="3" t="str">
        <x:v>U01</x:v>
      </x:c>
      <x:c r="E2" s="3" t="n">
        <x:v>0</x:v>
      </x:c>
      <x:c r="F2" s="3" t="n">
        <x:v>1727.3186397361987</x:v>
      </x:c>
      <x:c r="G2" s="11" t="n">
        <x:v>1</x:v>
      </x:c>
      <x:c r="H2" s="11" t="n">
        <x:v>0.5620728635572412</x:v>
      </x:c>
      <x:c r="I2" s="3" t="n">
        <x:v>1727.3186397361987</x:v>
      </x:c>
      <x:c r="J2" s="3" t="n">
        <x:v>2796.623917111785</x:v>
      </x:c>
      <x:c r="K2" s="3" t="n">
        <x:f>J2-I2</x:f>
        <x:v>1069.3052773755862</x:v>
      </x:c>
    </x:row>
    <x:row r="3" ht="23" customHeight="1">
      <x:c r="A3" s="10" t="str">
        <x:v>BAT-A02</x:v>
      </x:c>
      <x:c r="B3" s="8" t="str">
        <x:v>A</x:v>
      </x:c>
      <x:c r="C3" s="8" t="str">
        <x:v>Q2T002</x:v>
      </x:c>
      <x:c r="D3" s="8" t="str">
        <x:v>U02</x:v>
      </x:c>
      <x:c r="E3" s="8" t="n">
        <x:v>0</x:v>
      </x:c>
      <x:c r="F3" s="8" t="n">
        <x:v>1653.853569215472</x:v>
      </x:c>
      <x:c r="G3" s="12" t="n">
        <x:v>1</x:v>
      </x:c>
      <x:c r="H3" s="12" t="n">
        <x:v>0.5799502644127463</x:v>
      </x:c>
      <x:c r="I3" s="8" t="n">
        <x:v>1653.853569215472</x:v>
      </x:c>
      <x:c r="J3" s="8" t="n">
        <x:v>2699.9182254789016</x:v>
      </x:c>
      <x:c r="K3" s="8" t="n">
        <x:f>J3-I3</x:f>
        <x:v>1046.0646562634297</x:v>
      </x:c>
    </x:row>
    <x:row r="4" ht="23" customHeight="1">
      <x:c r="A4" s="9" t="str">
        <x:v>BAT-A03</x:v>
      </x:c>
      <x:c r="B4" s="3" t="str">
        <x:v>A</x:v>
      </x:c>
      <x:c r="C4" s="3" t="str">
        <x:v>Q2T003</x:v>
      </x:c>
      <x:c r="D4" s="3" t="str">
        <x:v>U03</x:v>
      </x:c>
      <x:c r="E4" s="3" t="n">
        <x:v>0</x:v>
      </x:c>
      <x:c r="F4" s="3" t="n">
        <x:v>1593.853569215472</x:v>
      </x:c>
      <x:c r="G4" s="11" t="n">
        <x:v>1</x:v>
      </x:c>
      <x:c r="H4" s="11" t="n">
        <x:v>0.5735368001859882</x:v>
      </x:c>
      <x:c r="I4" s="3" t="n">
        <x:v>1593.853569215472</x:v>
      </x:c>
      <x:c r="J4" s="3" t="n">
        <x:v>2648.2557289736874</x:v>
      </x:c>
      <x:c r="K4" s="3" t="n">
        <x:f>J4-I4</x:f>
        <x:v>1054.4021597582155</x:v>
      </x:c>
    </x:row>
    <x:row r="5" ht="23" customHeight="1">
      <x:c r="A5" s="10" t="str">
        <x:v>BAT-A04</x:v>
      </x:c>
      <x:c r="B5" s="8" t="str">
        <x:v>A</x:v>
      </x:c>
      <x:c r="C5" s="8" t="str">
        <x:v>Q2T004</x:v>
      </x:c>
      <x:c r="D5" s="8" t="str">
        <x:v>U04</x:v>
      </x:c>
      <x:c r="E5" s="8" t="n">
        <x:v>0</x:v>
      </x:c>
      <x:c r="F5" s="8" t="n">
        <x:v>1727.3186397361987</x:v>
      </x:c>
      <x:c r="G5" s="12" t="n">
        <x:v>1</x:v>
      </x:c>
      <x:c r="H5" s="12" t="n">
        <x:v>0.576644252687495</x:v>
      </x:c>
      <x:c r="I5" s="8" t="n">
        <x:v>1727.3186397361987</x:v>
      </x:c>
      <x:c r="J5" s="8" t="n">
        <x:v>2777.6811112424552</x:v>
      </x:c>
      <x:c r="K5" s="8" t="n">
        <x:f>J5-I5</x:f>
        <x:v>1050.3624715062565</x:v>
      </x:c>
    </x:row>
    <x:row r="6" ht="23" customHeight="1">
      <x:c r="A6" s="9" t="str">
        <x:v>BAT-B01</x:v>
      </x:c>
      <x:c r="B6" s="3" t="str">
        <x:v>B</x:v>
      </x:c>
      <x:c r="C6" s="3" t="str">
        <x:v>Q2T005</x:v>
      </x:c>
      <x:c r="D6" s="3" t="str">
        <x:v>U05</x:v>
      </x:c>
      <x:c r="E6" s="3" t="n">
        <x:v>0</x:v>
      </x:c>
      <x:c r="F6" s="3" t="n">
        <x:v>1923.8014006521316</x:v>
      </x:c>
      <x:c r="G6" s="11" t="n">
        <x:v>1</x:v>
      </x:c>
      <x:c r="H6" s="11" t="n">
        <x:v>0.31119052339743525</x:v>
      </x:c>
      <x:c r="I6" s="3" t="n">
        <x:v>1923.8014006521316</x:v>
      </x:c>
      <x:c r="J6" s="3" t="n">
        <x:v>3784.404493429911</x:v>
      </x:c>
      <x:c r="K6" s="3" t="n">
        <x:f>J6-I6</x:f>
        <x:v>1860.6030927777792</x:v>
      </x:c>
    </x:row>
    <x:row r="7" ht="23" customHeight="1">
      <x:c r="A7" s="10" t="str">
        <x:v>BAT-B02</x:v>
      </x:c>
      <x:c r="B7" s="8" t="str">
        <x:v>B</x:v>
      </x:c>
      <x:c r="C7" s="8" t="str">
        <x:v>Q2T006</x:v>
      </x:c>
      <x:c r="D7" s="8" t="str">
        <x:v>U06</x:v>
      </x:c>
      <x:c r="E7" s="8" t="n">
        <x:v>0</x:v>
      </x:c>
      <x:c r="F7" s="8" t="n">
        <x:v>1510.400941459339</x:v>
      </x:c>
      <x:c r="G7" s="12" t="n">
        <x:v>1</x:v>
      </x:c>
      <x:c r="H7" s="12" t="n">
        <x:v>0.543857672473197</x:v>
      </x:c>
      <x:c r="I7" s="8" t="n">
        <x:v>1510.400941459339</x:v>
      </x:c>
      <x:c r="J7" s="8" t="n">
        <x:v>2967.714309172464</x:v>
      </x:c>
      <x:c r="K7" s="8" t="n">
        <x:f>J7-I7</x:f>
        <x:v>1457.3133677131248</x:v>
      </x:c>
    </x:row>
    <x:row r="8" ht="23" customHeight="1">
      <x:c r="A8" s="9" t="str">
        <x:v>BAT-C01</x:v>
      </x:c>
      <x:c r="B8" s="3" t="str">
        <x:v>C</x:v>
      </x:c>
      <x:c r="C8" s="3" t="str">
        <x:v>Q2T007</x:v>
      </x:c>
      <x:c r="D8" s="3" t="str">
        <x:v>U07</x:v>
      </x:c>
      <x:c r="E8" s="3" t="n">
        <x:v>0</x:v>
      </x:c>
      <x:c r="F8" s="3" t="n">
        <x:v>1495.4267416985454</x:v>
      </x:c>
      <x:c r="G8" s="11" t="n">
        <x:v>1</x:v>
      </x:c>
      <x:c r="H8" s="11" t="n">
        <x:v>0.6513841469817001</x:v>
      </x:c>
      <x:c r="I8" s="3" t="n">
        <x:v>1495.4267416985454</x:v>
      </x:c>
      <x:c r="J8" s="3" t="n">
        <x:v>3084.0944232381953</x:v>
      </x:c>
      <x:c r="K8" s="3" t="n">
        <x:f>J8-I8</x:f>
        <x:v>1588.66768153965</x:v>
      </x:c>
    </x:row>
    <x:row r="9" ht="23" customHeight="1">
      <x:c r="A9" s="10" t="str">
        <x:v>BAT-C02</x:v>
      </x:c>
      <x:c r="B9" s="8" t="str">
        <x:v>C</x:v>
      </x:c>
      <x:c r="C9" s="8" t="str">
        <x:v>Q2T008</x:v>
      </x:c>
      <x:c r="D9" s="8" t="str">
        <x:v>U08</x:v>
      </x:c>
      <x:c r="E9" s="8" t="n">
        <x:v>0</x:v>
      </x:c>
      <x:c r="F9" s="8" t="n">
        <x:v>1560.863885273963</x:v>
      </x:c>
      <x:c r="G9" s="12" t="n">
        <x:v>1</x:v>
      </x:c>
      <x:c r="H9" s="12" t="n">
        <x:v>0.6757525894245816</x:v>
      </x:c>
      <x:c r="I9" s="8" t="n">
        <x:v>1560.863885273963</x:v>
      </x:c>
      <x:c r="J9" s="8" t="n">
        <x:v>3096.733274854036</x:v>
      </x:c>
      <x:c r="K9" s="8" t="n">
        <x:f>J9-I9</x:f>
        <x:v>1535.8693895800732</x:v>
      </x:c>
    </x:row>
    <x:row r="10" ht="23" customHeight="1">
      <x:c r="A10" s="9" t="str">
        <x:v>BAT-C03</x:v>
      </x:c>
      <x:c r="B10" s="3" t="str">
        <x:v>C</x:v>
      </x:c>
      <x:c r="C10" s="3" t="str">
        <x:v>Q2T009</x:v>
      </x:c>
      <x:c r="D10" s="3" t="str">
        <x:v>U07</x:v>
      </x:c>
      <x:c r="E10" s="3" t="n">
        <x:v>1495.4267416985454</x:v>
      </x:c>
      <x:c r="F10" s="3" t="n">
        <x:v>3867.06403232271</x:v>
      </x:c>
      <x:c r="G10" s="11" t="n">
        <x:v>1</x:v>
      </x:c>
      <x:c r="H10" s="11" t="n">
        <x:v>0.23753473328158203</x:v>
      </x:c>
      <x:c r="I10" s="3" t="n">
        <x:v>3867.06403232271</x:v>
      </x:c>
      <x:c r="J10" s="3" t="n">
        <x:v>6352.405443545949</x:v>
      </x:c>
      <x:c r="K10" s="3" t="n">
        <x:f>J10-I10</x:f>
        <x:v>2485.3414112232394</x:v>
      </x:c>
    </x:row>
    <x:row r="11" ht="23" customHeight="1">
      <x:c r="A11" s="10" t="str">
        <x:v>BAT-B03</x:v>
      </x:c>
      <x:c r="B11" s="8" t="str">
        <x:v>B</x:v>
      </x:c>
      <x:c r="C11" s="8" t="str">
        <x:v>Q2T010</x:v>
      </x:c>
      <x:c r="D11" s="8" t="str">
        <x:v>U06</x:v>
      </x:c>
      <x:c r="E11" s="8" t="n">
        <x:v>1510.400941459339</x:v>
      </x:c>
      <x:c r="F11" s="8" t="n">
        <x:v>3378.9993893283818</x:v>
      </x:c>
      <x:c r="G11" s="12" t="n">
        <x:v>1</x:v>
      </x:c>
      <x:c r="H11" s="12" t="n">
        <x:v>0.46567325998914555</x:v>
      </x:c>
      <x:c r="I11" s="8" t="n">
        <x:v>3378.9993893283818</x:v>
      </x:c>
      <x:c r="J11" s="8" t="n">
        <x:v>4971.832405347196</x:v>
      </x:c>
      <x:c r="K11" s="8" t="n">
        <x:f>J11-I11</x:f>
        <x:v>1592.8330160188143</x:v>
      </x:c>
    </x:row>
    <x:row r="12" ht="23" customHeight="1">
      <x:c r="A12" s="9" t="str">
        <x:v>BAT-C04</x:v>
      </x:c>
      <x:c r="B12" s="3" t="str">
        <x:v>C</x:v>
      </x:c>
      <x:c r="C12" s="3" t="str">
        <x:v>Q2T011</x:v>
      </x:c>
      <x:c r="D12" s="3" t="str">
        <x:v>U08</x:v>
      </x:c>
      <x:c r="E12" s="3" t="n">
        <x:v>1560.863885273963</x:v>
      </x:c>
      <x:c r="F12" s="3" t="n">
        <x:v>3188.290626972508</x:v>
      </x:c>
      <x:c r="G12" s="11" t="n">
        <x:v>1</x:v>
      </x:c>
      <x:c r="H12" s="11" t="n">
        <x:v>0.6659116900105948</x:v>
      </x:c>
      <x:c r="I12" s="3" t="n">
        <x:v>3188.290626972508</x:v>
      </x:c>
      <x:c r="J12" s="3" t="n">
        <x:v>4745.481965282886</x:v>
      </x:c>
      <x:c r="K12" s="3" t="n">
        <x:f>J12-I12</x:f>
        <x:v>1557.1913383103783</x:v>
      </x:c>
    </x:row>
    <x:row r="13" ht="23" customHeight="1">
      <x:c r="A13" s="10" t="str">
        <x:v>BAT-B04</x:v>
      </x:c>
      <x:c r="B13" s="8" t="str">
        <x:v>B</x:v>
      </x:c>
      <x:c r="C13" s="8" t="str">
        <x:v>Q2T012</x:v>
      </x:c>
      <x:c r="D13" s="8" t="str">
        <x:v>U05</x:v>
      </x:c>
      <x:c r="E13" s="8" t="n">
        <x:v>1923.8014006521316</x:v>
      </x:c>
      <x:c r="F13" s="8" t="n">
        <x:v>3743.6914425179066</x:v>
      </x:c>
      <x:c r="G13" s="12" t="n">
        <x:v>1</x:v>
      </x:c>
      <x:c r="H13" s="12" t="n">
        <x:v>0.3195183451208976</x:v>
      </x:c>
      <x:c r="I13" s="8" t="n">
        <x:v>3743.6914425179066</x:v>
      </x:c>
      <x:c r="J13" s="8" t="n">
        <x:v>5589.859644308351</x:v>
      </x:c>
      <x:c r="K13" s="8" t="n">
        <x:f>J13-I13</x:f>
        <x:v>1846.168201790444</x:v>
      </x:c>
    </x:row>
    <x:row r="14" ht="23" customHeight="1">
      <x:c r="A14" s="9" t="str">
        <x:v>BAT-C01</x:v>
      </x:c>
      <x:c r="B14" s="3" t="str">
        <x:v>C</x:v>
      </x:c>
      <x:c r="C14" s="3" t="str">
        <x:v>Q2T013</x:v>
      </x:c>
      <x:c r="D14" s="3" t="str">
        <x:v>U08</x:v>
      </x:c>
      <x:c r="E14" s="3" t="n">
        <x:v>3188.290626972508</x:v>
      </x:c>
      <x:c r="F14" s="3" t="n">
        <x:v>5493.4761184403305</x:v>
      </x:c>
      <x:c r="G14" s="11" t="n">
        <x:v>1</x:v>
      </x:c>
      <x:c r="H14" s="11" t="n">
        <x:v>0.2278851212635573</x:v>
      </x:c>
      <x:c r="I14" s="3" t="n">
        <x:v>5493.4761184403305</x:v>
      </x:c>
      <x:c r="J14" s="3" t="n">
        <x:v>7999.72502236929</x:v>
      </x:c>
      <x:c r="K14" s="3" t="n">
        <x:f>J14-I14</x:f>
        <x:v>2506.2489039289594</x:v>
      </x:c>
    </x:row>
    <x:row r="15" ht="23" customHeight="1">
      <x:c r="A15" s="10" t="str">
        <x:v>BAT-B02</x:v>
      </x:c>
      <x:c r="B15" s="8" t="str">
        <x:v>B</x:v>
      </x:c>
      <x:c r="C15" s="8" t="str">
        <x:v>Q2T014</x:v>
      </x:c>
      <x:c r="D15" s="8" t="str">
        <x:v>U06</x:v>
      </x:c>
      <x:c r="E15" s="8" t="n">
        <x:v>3378.9993893283818</x:v>
      </x:c>
      <x:c r="F15" s="8" t="n">
        <x:v>5208.573490344398</x:v>
      </x:c>
      <x:c r="G15" s="12" t="n">
        <x:v>1</x:v>
      </x:c>
      <x:c r="H15" s="12" t="n">
        <x:v>0.42227360925822</x:v>
      </x:c>
      <x:c r="I15" s="8" t="n">
        <x:v>5208.573490344398</x:v>
      </x:c>
      <x:c r="J15" s="8" t="n">
        <x:v>6876.63256763015</x:v>
      </x:c>
      <x:c r="K15" s="8" t="n">
        <x:f>J15-I15</x:f>
        <x:v>1668.0590772857522</x:v>
      </x:c>
    </x:row>
    <x:row r="16" ht="23" customHeight="1">
      <x:c r="A16" s="9" t="str">
        <x:v>BAT-B01</x:v>
      </x:c>
      <x:c r="B16" s="3" t="str">
        <x:v>B</x:v>
      </x:c>
      <x:c r="C16" s="3" t="str">
        <x:v>Q2T015</x:v>
      </x:c>
      <x:c r="D16" s="3" t="str">
        <x:v>U05</x:v>
      </x:c>
      <x:c r="E16" s="3" t="n">
        <x:v>3784.404493429911</x:v>
      </x:c>
      <x:c r="F16" s="3" t="n">
        <x:v>4974.035297994393</x:v>
      </x:c>
      <x:c r="G16" s="11" t="n">
        <x:v>1</x:v>
      </x:c>
      <x:c r="H16" s="11" t="n">
        <x:v>0.7307068411984117</x:v>
      </x:c>
      <x:c r="I16" s="3" t="n">
        <x:v>4974.035297994393</x:v>
      </x:c>
      <x:c r="J16" s="3" t="n">
        <x:v>6107.476773250479</x:v>
      </x:c>
      <x:c r="K16" s="3" t="n">
        <x:f>J16-I16</x:f>
        <x:v>1133.441475256086</x:v>
      </x:c>
    </x:row>
    <x:row r="17" ht="23" customHeight="1">
      <x:c r="A17" s="10" t="str">
        <x:v>BAT-C02</x:v>
      </x:c>
      <x:c r="B17" s="8" t="str">
        <x:v>C</x:v>
      </x:c>
      <x:c r="C17" s="8" t="str">
        <x:v>Q2T016</x:v>
      </x:c>
      <x:c r="D17" s="8" t="str">
        <x:v>U07</x:v>
      </x:c>
      <x:c r="E17" s="8" t="n">
        <x:v>3867.06403232271</x:v>
      </x:c>
      <x:c r="F17" s="8" t="n">
        <x:v>6368.874890435143</x:v>
      </x:c>
      <x:c r="G17" s="12" t="n">
        <x:v>1</x:v>
      </x:c>
      <x:c r="H17" s="12" t="n">
        <x:v>0.20971146120977946</x:v>
      </x:c>
      <x:c r="I17" s="8" t="n">
        <x:v>6368.874890435143</x:v>
      </x:c>
      <x:c r="J17" s="8" t="n">
        <x:v>8914.500057813955</x:v>
      </x:c>
      <x:c r="K17" s="8" t="n">
        <x:f>J17-I17</x:f>
        <x:v>2545.625167378812</x:v>
      </x:c>
    </x:row>
    <x:row r="18" ht="23" customHeight="1">
      <x:c r="A18" s="9" t="str">
        <x:v>BAT-B03</x:v>
      </x:c>
      <x:c r="B18" s="3" t="str">
        <x:v>B</x:v>
      </x:c>
      <x:c r="C18" s="3" t="str">
        <x:v>Q2T017</x:v>
      </x:c>
      <x:c r="D18" s="3" t="str">
        <x:v>U05</x:v>
      </x:c>
      <x:c r="E18" s="3" t="n">
        <x:v>4974.035297994393</x:v>
      </x:c>
      <x:c r="F18" s="3" t="n">
        <x:v>7153.719952504951</x:v>
      </x:c>
      <x:c r="G18" s="11" t="n">
        <x:v>1</x:v>
      </x:c>
      <x:c r="H18" s="11" t="n">
        <x:v>0.3671520802470677</x:v>
      </x:c>
      <x:c r="I18" s="3" t="n">
        <x:v>7153.719952504951</x:v>
      </x:c>
      <x:c r="J18" s="3" t="n">
        <x:v>8917.323013410034</x:v>
      </x:c>
      <x:c r="K18" s="3" t="n">
        <x:f>J18-I18</x:f>
        <x:v>1763.603060905083</x:v>
      </x:c>
    </x:row>
    <x:row r="19" ht="23" customHeight="1">
      <x:c r="A19" s="10" t="str">
        <x:v>BAT-C04</x:v>
      </x:c>
      <x:c r="B19" s="8" t="str">
        <x:v>C</x:v>
      </x:c>
      <x:c r="C19" s="8" t="str">
        <x:v>Q2T018</x:v>
      </x:c>
      <x:c r="D19" s="8" t="str">
        <x:v>U08</x:v>
      </x:c>
      <x:c r="E19" s="8" t="n">
        <x:v>5493.4761184403305</x:v>
      </x:c>
      <x:c r="F19" s="8" t="n">
        <x:v>7697.236007859792</x:v>
      </x:c>
      <x:c r="G19" s="12" t="n">
        <x:v>1</x:v>
      </x:c>
      <x:c r="H19" s="12" t="n">
        <x:v>0.2678128615254114</x:v>
      </x:c>
      <x:c r="I19" s="8" t="n">
        <x:v>7697.236007859792</x:v>
      </x:c>
      <x:c r="J19" s="8" t="n">
        <x:v>10116.974807888068</x:v>
      </x:c>
      <x:c r="K19" s="8" t="n">
        <x:f>J19-I19</x:f>
        <x:v>2419.7388000282754</x:v>
      </x:c>
    </x:row>
    <x:row r="20" ht="23" customHeight="1">
      <x:c r="A20" s="9" t="str">
        <x:v>BAT-B04</x:v>
      </x:c>
      <x:c r="B20" s="3" t="str">
        <x:v>B</x:v>
      </x:c>
      <x:c r="C20" s="3" t="str">
        <x:v>Q2T019</x:v>
      </x:c>
      <x:c r="D20" s="3" t="str">
        <x:v>U06</x:v>
      </x:c>
      <x:c r="E20" s="3" t="n">
        <x:v>5589.859644308351</x:v>
      </x:c>
      <x:c r="F20" s="3" t="n">
        <x:v>7150.639434855461</x:v>
      </x:c>
      <x:c r="G20" s="11" t="n">
        <x:v>1</x:v>
      </x:c>
      <x:c r="H20" s="11" t="n">
        <x:v>0.4743860889415693</x:v>
      </x:c>
      <x:c r="I20" s="3" t="n">
        <x:v>7150.639434855461</x:v>
      </x:c>
      <x:c r="J20" s="3" t="n">
        <x:v>8728.370214023409</x:v>
      </x:c>
      <x:c r="K20" s="3" t="n">
        <x:f>J20-I20</x:f>
        <x:v>1577.7307791679477</x:v>
      </x:c>
    </x:row>
    <x:row r="21" ht="23" customHeight="1">
      <x:c r="A21" s="10" t="str">
        <x:v>BAT-C03</x:v>
      </x:c>
      <x:c r="B21" s="8" t="str">
        <x:v>C</x:v>
      </x:c>
      <x:c r="C21" s="8" t="str">
        <x:v>Q2T020</x:v>
      </x:c>
      <x:c r="D21" s="8" t="str">
        <x:v>U07</x:v>
      </x:c>
      <x:c r="E21" s="8" t="n">
        <x:v>6368.874890435143</x:v>
      </x:c>
      <x:c r="F21" s="8" t="n">
        <x:v>8248.920507531224</x:v>
      </x:c>
      <x:c r="G21" s="12" t="n">
        <x:v>1</x:v>
      </x:c>
      <x:c r="H21" s="12" t="n">
        <x:v>0.47015249491317235</x:v>
      </x:c>
      <x:c r="I21" s="8" t="n">
        <x:v>8248.920507531224</x:v>
      </x:c>
      <x:c r="J21" s="8" t="n">
        <x:v>10230.256768552683</x:v>
      </x:c>
      <x:c r="K21" s="8" t="n">
        <x:f>J21-I21</x:f>
        <x:v>1981.336261021459</x:v>
      </x:c>
    </x:row>
  </x:sheetData>
  <x:pageMargins left="0.7" right="0.7" top="0.75" bottom="0.75" header="0.3" footer="0.3"/>
  <x:tableParts count="1">
    <x:tablePart xmlns:r="http://schemas.openxmlformats.org/officeDocument/2006/relationships" r:id="R795f7b3c71c5496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40" customHeight="1">
      <x:c r="A1" s="7" t="str">
        <x:v>架次</x:v>
      </x:c>
      <x:c r="B1" s="7" t="str">
        <x:v>起点</x:v>
      </x:c>
      <x:c r="C1" s="7" t="str">
        <x:v>终点</x:v>
      </x:c>
      <x:c r="D1" s="7" t="str">
        <x:v>剩余载荷（kg）</x:v>
      </x:c>
      <x:c r="E1" s="7" t="str">
        <x:v>剩余体积（m3）</x:v>
      </x:c>
      <x:c r="F1" s="7" t="str">
        <x:v>水平距离（m）</x:v>
      </x:c>
      <x:c r="G1" s="7" t="str">
        <x:v>DEM最高（m）</x:v>
      </x:c>
      <x:c r="H1" s="7" t="str">
        <x:v>巡航海拔（m）</x:v>
      </x:c>
      <x:c r="I1" s="7" t="str">
        <x:v>爬升（m）</x:v>
      </x:c>
      <x:c r="J1" s="7" t="str">
        <x:v>下降（m）</x:v>
      </x:c>
      <x:c r="K1" s="7" t="str">
        <x:v>航段开始（s）</x:v>
      </x:c>
      <x:c r="L1" s="7" t="str">
        <x:v>航段结束（s）</x:v>
      </x:c>
      <x:c r="M1" s="7" t="str">
        <x:v>飞行时间（s）</x:v>
      </x:c>
      <x:c r="N1" s="7" t="str">
        <x:v>能耗（kWh）</x:v>
      </x:c>
    </x:row>
    <x:row r="2" ht="23" customHeight="1">
      <x:c r="A2" s="9" t="str">
        <x:v>Q2T001</x:v>
      </x:c>
      <x:c r="B2" s="3" t="str">
        <x:v>O01</x:v>
      </x:c>
      <x:c r="C2" s="3" t="str">
        <x:v>S007</x:v>
      </x:c>
      <x:c r="D2" s="3" t="n">
        <x:v>22</x:v>
      </x:c>
      <x:c r="E2" s="3" t="n">
        <x:v>0.055</x:v>
      </x:c>
      <x:c r="F2" s="3" t="n">
        <x:v>4533.827897987505</x:v>
      </x:c>
      <x:c r="G2" s="3" t="n">
        <x:v>461.9731750488281</x:v>
      </x:c>
      <x:c r="H2" s="3" t="n">
        <x:v>511.9731750488281</x:v>
      </x:c>
      <x:c r="I2" s="3" t="n">
        <x:v>384.27317504882814</x:v>
      </x:c>
      <x:c r="J2" s="3" t="n">
        <x:v>163.47317504882812</x:v>
      </x:c>
      <x:c r="K2" s="3" t="n">
        <x:v>360</x:v>
      </x:c>
      <x:c r="L2" s="3" t="n">
        <x:v>931.2993198680994</x:v>
      </x:c>
      <x:c r="M2" s="3" t="n">
        <x:v>571.2993198680994</x:v>
      </x:c>
      <x:c r="N2" s="3" t="n">
        <x:v>1.111274053270547</x:v>
      </x:c>
    </x:row>
    <x:row r="3" ht="23" customHeight="1">
      <x:c r="A3" s="10" t="str">
        <x:v>Q2T001</x:v>
      </x:c>
      <x:c r="B3" s="8" t="str">
        <x:v>S007</x:v>
      </x:c>
      <x:c r="C3" s="8" t="str">
        <x:v>O01</x:v>
      </x:c>
      <x:c r="D3" s="8" t="n">
        <x:v>0</x:v>
      </x:c>
      <x:c r="E3" s="8" t="n">
        <x:v>0</x:v>
      </x:c>
      <x:c r="F3" s="8" t="n">
        <x:v>4533.827897987505</x:v>
      </x:c>
      <x:c r="G3" s="8" t="n">
        <x:v>461.9731750488281</x:v>
      </x:c>
      <x:c r="H3" s="8" t="n">
        <x:v>511.9731750488281</x:v>
      </x:c>
      <x:c r="I3" s="8" t="n">
        <x:v>163.47317504882812</x:v>
      </x:c>
      <x:c r="J3" s="8" t="n">
        <x:v>384.27317504882814</x:v>
      </x:c>
      <x:c r="K3" s="8" t="n">
        <x:v>1141.2993198680992</x:v>
      </x:c>
      <x:c r="L3" s="8" t="n">
        <x:v>1727.3186397361987</x:v>
      </x:c>
      <x:c r="M3" s="8" t="n">
        <x:v>586.0193198680994</x:v>
      </x:c>
      <x:c r="N3" s="8" t="n">
        <x:v>0.8593980607218675</x:v>
      </x:c>
    </x:row>
    <x:row r="4" ht="23" customHeight="1">
      <x:c r="A4" s="9" t="str">
        <x:v>Q2T002</x:v>
      </x:c>
      <x:c r="B4" s="3" t="str">
        <x:v>O01</x:v>
      </x:c>
      <x:c r="C4" s="3" t="str">
        <x:v>S010</x:v>
      </x:c>
      <x:c r="D4" s="3" t="n">
        <x:v>11</x:v>
      </x:c>
      <x:c r="E4" s="3" t="n">
        <x:v>0.04</x:v>
      </x:c>
      <x:c r="F4" s="3" t="n">
        <x:v>4778.439901620956</x:v>
      </x:c>
      <x:c r="G4" s="3" t="n">
        <x:v>385.63653564453125</x:v>
      </x:c>
      <x:c r="H4" s="3" t="n">
        <x:v>435.63653564453125</x:v>
      </x:c>
      <x:c r="I4" s="3" t="n">
        <x:v>307.93653564453126</x:v>
      </x:c>
      <x:c r="J4" s="3" t="n">
        <x:v>84.03653564453123</x:v>
      </x:c>
      <x:c r="K4" s="3" t="n">
        <x:v>360</x:v>
      </x:c>
      <x:c r="L4" s="3" t="n">
        <x:v>894.4634512744026</x:v>
      </x:c>
      <x:c r="M4" s="3" t="n">
        <x:v>534.4634512744026</x:v>
      </x:c>
      <x:c r="N4" s="3" t="n">
        <x:v>1.0078407817755997</x:v>
      </x:c>
    </x:row>
    <x:row r="5" ht="23" customHeight="1">
      <x:c r="A5" s="10" t="str">
        <x:v>Q2T002</x:v>
      </x:c>
      <x:c r="B5" s="8" t="str">
        <x:v>S010</x:v>
      </x:c>
      <x:c r="C5" s="8" t="str">
        <x:v>O01</x:v>
      </x:c>
      <x:c r="D5" s="8" t="n">
        <x:v>0</x:v>
      </x:c>
      <x:c r="E5" s="8" t="n">
        <x:v>0</x:v>
      </x:c>
      <x:c r="F5" s="8" t="n">
        <x:v>4778.439901620956</x:v>
      </x:c>
      <x:c r="G5" s="8" t="n">
        <x:v>385.63653564453125</x:v>
      </x:c>
      <x:c r="H5" s="8" t="n">
        <x:v>435.63653564453125</x:v>
      </x:c>
      <x:c r="I5" s="8" t="n">
        <x:v>84.03653564453123</x:v>
      </x:c>
      <x:c r="J5" s="8" t="n">
        <x:v>307.93653564453126</x:v>
      </x:c>
      <x:c r="K5" s="8" t="n">
        <x:v>1104.4634512744026</x:v>
      </x:c>
      <x:c r="L5" s="8" t="n">
        <x:v>1653.853569215472</x:v>
      </x:c>
      <x:c r="M5" s="8" t="n">
        <x:v>549.3901179410693</x:v>
      </x:c>
      <x:c r="N5" s="8" t="n">
        <x:v>0.8823830283670421</x:v>
      </x:c>
    </x:row>
    <x:row r="6" ht="23" customHeight="1">
      <x:c r="A6" s="9" t="str">
        <x:v>Q2T003</x:v>
      </x:c>
      <x:c r="B6" s="3" t="str">
        <x:v>O01</x:v>
      </x:c>
      <x:c r="C6" s="3" t="str">
        <x:v>S010</x:v>
      </x:c>
      <x:c r="D6" s="3" t="n">
        <x:v>14</x:v>
      </x:c>
      <x:c r="E6" s="3" t="n">
        <x:v>0.027</x:v>
      </x:c>
      <x:c r="F6" s="3" t="n">
        <x:v>4778.439901620956</x:v>
      </x:c>
      <x:c r="G6" s="3" t="n">
        <x:v>385.63653564453125</x:v>
      </x:c>
      <x:c r="H6" s="3" t="n">
        <x:v>435.63653564453125</x:v>
      </x:c>
      <x:c r="I6" s="3" t="n">
        <x:v>307.93653564453126</x:v>
      </x:c>
      <x:c r="J6" s="3" t="n">
        <x:v>84.03653564453123</x:v>
      </x:c>
      <x:c r="K6" s="3" t="n">
        <x:v>330</x:v>
      </x:c>
      <x:c r="L6" s="3" t="n">
        <x:v>864.4634512744026</x:v>
      </x:c>
      <x:c r="M6" s="3" t="n">
        <x:v>534.4634512744026</x:v>
      </x:c>
      <x:c r="N6" s="3" t="n">
        <x:v>1.0367013707960115</x:v>
      </x:c>
    </x:row>
    <x:row r="7" ht="23" customHeight="1">
      <x:c r="A7" s="10" t="str">
        <x:v>Q2T003</x:v>
      </x:c>
      <x:c r="B7" s="8" t="str">
        <x:v>S010</x:v>
      </x:c>
      <x:c r="C7" s="8" t="str">
        <x:v>O01</x:v>
      </x:c>
      <x:c r="D7" s="8" t="n">
        <x:v>0</x:v>
      </x:c>
      <x:c r="E7" s="8" t="n">
        <x:v>0</x:v>
      </x:c>
      <x:c r="F7" s="8" t="n">
        <x:v>4778.439901620956</x:v>
      </x:c>
      <x:c r="G7" s="8" t="n">
        <x:v>385.63653564453125</x:v>
      </x:c>
      <x:c r="H7" s="8" t="n">
        <x:v>435.63653564453125</x:v>
      </x:c>
      <x:c r="I7" s="8" t="n">
        <x:v>84.03653564453123</x:v>
      </x:c>
      <x:c r="J7" s="8" t="n">
        <x:v>307.93653564453126</x:v>
      </x:c>
      <x:c r="K7" s="8" t="n">
        <x:v>1044.4634512744026</x:v>
      </x:c>
      <x:c r="L7" s="8" t="n">
        <x:v>1593.853569215472</x:v>
      </x:c>
      <x:c r="M7" s="8" t="n">
        <x:v>549.3901179410693</x:v>
      </x:c>
      <x:c r="N7" s="8" t="n">
        <x:v>0.8823830283670421</x:v>
      </x:c>
    </x:row>
    <x:row r="8" ht="23" customHeight="1">
      <x:c r="A8" s="9" t="str">
        <x:v>Q2T004</x:v>
      </x:c>
      <x:c r="B8" s="3" t="str">
        <x:v>O01</x:v>
      </x:c>
      <x:c r="C8" s="3" t="str">
        <x:v>S007</x:v>
      </x:c>
      <x:c r="D8" s="3" t="n">
        <x:v>17</x:v>
      </x:c>
      <x:c r="E8" s="3" t="n">
        <x:v>0.039</x:v>
      </x:c>
      <x:c r="F8" s="3" t="n">
        <x:v>4533.827897987505</x:v>
      </x:c>
      <x:c r="G8" s="3" t="n">
        <x:v>461.9731750488281</x:v>
      </x:c>
      <x:c r="H8" s="3" t="n">
        <x:v>511.9731750488281</x:v>
      </x:c>
      <x:c r="I8" s="3" t="n">
        <x:v>384.27317504882814</x:v>
      </x:c>
      <x:c r="J8" s="3" t="n">
        <x:v>163.47317504882812</x:v>
      </x:c>
      <x:c r="K8" s="3" t="n">
        <x:v>360</x:v>
      </x:c>
      <x:c r="L8" s="3" t="n">
        <x:v>931.2993198680994</x:v>
      </x:c>
      <x:c r="M8" s="3" t="n">
        <x:v>571.2993198680994</x:v>
      </x:c>
      <x:c r="N8" s="3" t="n">
        <x:v>1.045702802184405</x:v>
      </x:c>
    </x:row>
    <x:row r="9" ht="23" customHeight="1">
      <x:c r="A9" s="10" t="str">
        <x:v>Q2T004</x:v>
      </x:c>
      <x:c r="B9" s="8" t="str">
        <x:v>S007</x:v>
      </x:c>
      <x:c r="C9" s="8" t="str">
        <x:v>O01</x:v>
      </x:c>
      <x:c r="D9" s="8" t="n">
        <x:v>0</x:v>
      </x:c>
      <x:c r="E9" s="8" t="n">
        <x:v>0</x:v>
      </x:c>
      <x:c r="F9" s="8" t="n">
        <x:v>4533.827897987505</x:v>
      </x:c>
      <x:c r="G9" s="8" t="n">
        <x:v>461.9731750488281</x:v>
      </x:c>
      <x:c r="H9" s="8" t="n">
        <x:v>511.9731750488281</x:v>
      </x:c>
      <x:c r="I9" s="8" t="n">
        <x:v>163.47317504882812</x:v>
      </x:c>
      <x:c r="J9" s="8" t="n">
        <x:v>384.27317504882814</x:v>
      </x:c>
      <x:c r="K9" s="8" t="n">
        <x:v>1141.2993198680992</x:v>
      </x:c>
      <x:c r="L9" s="8" t="n">
        <x:v>1727.3186397361987</x:v>
      </x:c>
      <x:c r="M9" s="8" t="n">
        <x:v>586.0193198680994</x:v>
      </x:c>
      <x:c r="N9" s="8" t="n">
        <x:v>0.8593980607218675</x:v>
      </x:c>
    </x:row>
    <x:row r="10" ht="23" customHeight="1">
      <x:c r="A10" s="9" t="str">
        <x:v>Q2T005</x:v>
      </x:c>
      <x:c r="B10" s="3" t="str">
        <x:v>O01</x:v>
      </x:c>
      <x:c r="C10" s="3" t="str">
        <x:v>S012</x:v>
      </x:c>
      <x:c r="D10" s="3" t="n">
        <x:v>25</x:v>
      </x:c>
      <x:c r="E10" s="3" t="n">
        <x:v>0.067</x:v>
      </x:c>
      <x:c r="F10" s="3" t="n">
        <x:v>7398.4495612874725</x:v>
      </x:c>
      <x:c r="G10" s="3" t="n">
        <x:v>363.3009948730469</x:v>
      </x:c>
      <x:c r="H10" s="3" t="n">
        <x:v>413.3009948730469</x:v>
      </x:c>
      <x:c r="I10" s="3" t="n">
        <x:v>285.6009948730469</x:v>
      </x:c>
      <x:c r="J10" s="3" t="n">
        <x:v>133.50099487304686</x:v>
      </x:c>
      <x:c r="K10" s="3" t="n">
        <x:v>390</x:v>
      </x:c>
      <x:c r="L10" s="3" t="n">
        <x:v>1031.8307003260657</x:v>
      </x:c>
      <x:c r="M10" s="3" t="n">
        <x:v>641.8307003260658</x:v>
      </x:c>
      <x:c r="N10" s="3" t="n">
        <x:v>1.665474368683037</x:v>
      </x:c>
    </x:row>
    <x:row r="11" ht="23" customHeight="1">
      <x:c r="A11" s="10" t="str">
        <x:v>Q2T005</x:v>
      </x:c>
      <x:c r="B11" s="8" t="str">
        <x:v>S012</x:v>
      </x:c>
      <x:c r="C11" s="8" t="str">
        <x:v>O01</x:v>
      </x:c>
      <x:c r="D11" s="8" t="n">
        <x:v>0</x:v>
      </x:c>
      <x:c r="E11" s="8" t="n">
        <x:v>0</x:v>
      </x:c>
      <x:c r="F11" s="8" t="n">
        <x:v>7398.4495612874725</x:v>
      </x:c>
      <x:c r="G11" s="8" t="n">
        <x:v>363.3009948730469</x:v>
      </x:c>
      <x:c r="H11" s="8" t="n">
        <x:v>413.3009948730469</x:v>
      </x:c>
      <x:c r="I11" s="8" t="n">
        <x:v>133.50099487304686</x:v>
      </x:c>
      <x:c r="J11" s="8" t="n">
        <x:v>285.6009948730469</x:v>
      </x:c>
      <x:c r="K11" s="8" t="n">
        <x:v>1271.8307003260657</x:v>
      </x:c>
      <x:c r="L11" s="8" t="n">
        <x:v>1923.8014006521316</x:v>
      </x:c>
      <x:c r="M11" s="8" t="n">
        <x:v>651.9707003260659</x:v>
      </x:c>
      <x:c r="N11" s="8" t="n">
        <x:v>1.0897635377272221</x:v>
      </x:c>
    </x:row>
    <x:row r="12" ht="23" customHeight="1">
      <x:c r="A12" s="9" t="str">
        <x:v>Q2T006</x:v>
      </x:c>
      <x:c r="B12" s="3" t="str">
        <x:v>O01</x:v>
      </x:c>
      <x:c r="C12" s="3" t="str">
        <x:v>S013</x:v>
      </x:c>
      <x:c r="D12" s="3" t="n">
        <x:v>25</x:v>
      </x:c>
      <x:c r="E12" s="3" t="n">
        <x:v>0.067</x:v>
      </x:c>
      <x:c r="F12" s="3" t="n">
        <x:v>4848.706999909886</x:v>
      </x:c>
      <x:c r="G12" s="3" t="n">
        <x:v>349.18182373046875</x:v>
      </x:c>
      <x:c r="H12" s="3" t="n">
        <x:v>399.18182373046875</x:v>
      </x:c>
      <x:c r="I12" s="3" t="n">
        <x:v>271.48182373046876</x:v>
      </x:c>
      <x:c r="J12" s="3" t="n">
        <x:v>47.48182373046876</x:v>
      </x:c>
      <x:c r="K12" s="3" t="n">
        <x:v>390</x:v>
      </x:c>
      <x:c r="L12" s="3" t="n">
        <x:v>822.7338040630028</x:v>
      </x:c>
      <x:c r="M12" s="3" t="n">
        <x:v>432.7338040630028</x:v>
      </x:c>
      <x:c r="N12" s="3" t="n">
        <x:v>1.1202160231760743</x:v>
      </x:c>
    </x:row>
    <x:row r="13" ht="23" customHeight="1">
      <x:c r="A13" s="10" t="str">
        <x:v>Q2T006</x:v>
      </x:c>
      <x:c r="B13" s="8" t="str">
        <x:v>S013</x:v>
      </x:c>
      <x:c r="C13" s="8" t="str">
        <x:v>O01</x:v>
      </x:c>
      <x:c r="D13" s="8" t="n">
        <x:v>0</x:v>
      </x:c>
      <x:c r="E13" s="8" t="n">
        <x:v>0</x:v>
      </x:c>
      <x:c r="F13" s="8" t="n">
        <x:v>4848.706999909886</x:v>
      </x:c>
      <x:c r="G13" s="8" t="n">
        <x:v>349.18182373046875</x:v>
      </x:c>
      <x:c r="H13" s="8" t="n">
        <x:v>399.18182373046875</x:v>
      </x:c>
      <x:c r="I13" s="8" t="n">
        <x:v>47.48182373046876</x:v>
      </x:c>
      <x:c r="J13" s="8" t="n">
        <x:v>271.48182373046876</x:v>
      </x:c>
      <x:c r="K13" s="8" t="n">
        <x:v>1062.733804063003</x:v>
      </x:c>
      <x:c r="L13" s="8" t="n">
        <x:v>1510.400941459339</x:v>
      </x:c>
      <x:c r="M13" s="8" t="n">
        <x:v>447.66713739633616</x:v>
      </x:c>
      <x:c r="N13" s="8" t="n">
        <x:v>0.7043532869311375</x:v>
      </x:c>
    </x:row>
    <x:row r="14" ht="23" customHeight="1">
      <x:c r="A14" s="9" t="str">
        <x:v>Q2T007</x:v>
      </x:c>
      <x:c r="B14" s="3" t="str">
        <x:v>O01</x:v>
      </x:c>
      <x:c r="C14" s="3" t="str">
        <x:v>S001</x:v>
      </x:c>
      <x:c r="D14" s="3" t="n">
        <x:v>72</x:v>
      </x:c>
      <x:c r="E14" s="3" t="n">
        <x:v>0.164</x:v>
      </x:c>
      <x:c r="F14" s="3" t="n">
        <x:v>3063.4113262888936</x:v>
      </x:c>
      <x:c r="G14" s="3" t="n">
        <x:v>223.05661010742188</x:v>
      </x:c>
      <x:c r="H14" s="3" t="n">
        <x:v>273.0566101074219</x:v>
      </x:c>
      <x:c r="I14" s="3" t="n">
        <x:v>145.3566101074219</x:v>
      </x:c>
      <x:c r="J14" s="3" t="n">
        <x:v>89.05661010742188</x:v>
      </x:c>
      <x:c r="K14" s="3" t="n">
        <x:v>480</x:v>
      </x:c>
      <x:c r="L14" s="3" t="n">
        <x:v>786.8983708492726</x:v>
      </x:c>
      <x:c r="M14" s="3" t="n">
        <x:v>306.8983708492726</x:v>
      </x:c>
      <x:c r="N14" s="3" t="n">
        <x:v>1.8227786120112939</x:v>
      </x:c>
    </x:row>
    <x:row r="15" ht="23" customHeight="1">
      <x:c r="A15" s="10" t="str">
        <x:v>Q2T007</x:v>
      </x:c>
      <x:c r="B15" s="8" t="str">
        <x:v>S001</x:v>
      </x:c>
      <x:c r="C15" s="8" t="str">
        <x:v>O01</x:v>
      </x:c>
      <x:c r="D15" s="8" t="n">
        <x:v>0</x:v>
      </x:c>
      <x:c r="E15" s="8" t="n">
        <x:v>0</x:v>
      </x:c>
      <x:c r="F15" s="8" t="n">
        <x:v>3063.4113262888936</x:v>
      </x:c>
      <x:c r="G15" s="8" t="n">
        <x:v>223.05661010742188</x:v>
      </x:c>
      <x:c r="H15" s="8" t="n">
        <x:v>273.0566101074219</x:v>
      </x:c>
      <x:c r="I15" s="8" t="n">
        <x:v>89.05661010742188</x:v>
      </x:c>
      <x:c r="J15" s="8" t="n">
        <x:v>145.3566101074219</x:v>
      </x:c>
      <x:c r="K15" s="8" t="n">
        <x:v>1182.8983708492726</x:v>
      </x:c>
      <x:c r="L15" s="8" t="n">
        <x:v>1495.4267416985454</x:v>
      </x:c>
      <x:c r="M15" s="8" t="n">
        <x:v>312.5283708492726</x:v>
      </x:c>
      <x:c r="N15" s="8" t="n">
        <x:v>0.9661482121351055</x:v>
      </x:c>
    </x:row>
    <x:row r="16" ht="23" customHeight="1">
      <x:c r="A16" s="9" t="str">
        <x:v>Q2T008</x:v>
      </x:c>
      <x:c r="B16" s="3" t="str">
        <x:v>O01</x:v>
      </x:c>
      <x:c r="C16" s="3" t="str">
        <x:v>S006</x:v>
      </x:c>
      <x:c r="D16" s="3" t="n">
        <x:v>59</x:v>
      </x:c>
      <x:c r="E16" s="3" t="n">
        <x:v>0.156</x:v>
      </x:c>
      <x:c r="F16" s="3" t="n">
        <x:v>3181.0333082558936</x:v>
      </x:c>
      <x:c r="G16" s="3" t="n">
        <x:v>316.09783935546875</x:v>
      </x:c>
      <x:c r="H16" s="3" t="n">
        <x:v>366.09783935546875</x:v>
      </x:c>
      <x:c r="I16" s="3" t="n">
        <x:v>238.39783935546876</x:v>
      </x:c>
      <x:c r="J16" s="3" t="n">
        <x:v>51.29783935546874</x:v>
      </x:c>
      <x:c r="K16" s="3" t="n">
        <x:v>480</x:v>
      </x:c>
      <x:c r="L16" s="3" t="n">
        <x:v>813.0769426369815</x:v>
      </x:c>
      <x:c r="M16" s="3" t="n">
        <x:v>333.07694263698147</x:v>
      </x:c>
      <x:c r="N16" s="3" t="n">
        <x:v>1.6016288548680073</x:v>
      </x:c>
    </x:row>
    <x:row r="17" ht="23" customHeight="1">
      <x:c r="A17" s="10" t="str">
        <x:v>Q2T008</x:v>
      </x:c>
      <x:c r="B17" s="8" t="str">
        <x:v>S006</x:v>
      </x:c>
      <x:c r="C17" s="8" t="str">
        <x:v>O01</x:v>
      </x:c>
      <x:c r="D17" s="8" t="n">
        <x:v>0</x:v>
      </x:c>
      <x:c r="E17" s="8" t="n">
        <x:v>0</x:v>
      </x:c>
      <x:c r="F17" s="8" t="n">
        <x:v>3181.0333082558936</x:v>
      </x:c>
      <x:c r="G17" s="8" t="n">
        <x:v>316.09783935546875</x:v>
      </x:c>
      <x:c r="H17" s="8" t="n">
        <x:v>366.09783935546875</x:v>
      </x:c>
      <x:c r="I17" s="8" t="n">
        <x:v>51.29783935546874</x:v>
      </x:c>
      <x:c r="J17" s="8" t="n">
        <x:v>238.39783935546876</x:v>
      </x:c>
      <x:c r="K17" s="8" t="n">
        <x:v>1209.0769426369816</x:v>
      </x:c>
      <x:c r="L17" s="8" t="n">
        <x:v>1560.863885273963</x:v>
      </x:c>
      <x:c r="M17" s="8" t="n">
        <x:v>351.78694263698145</x:v>
      </x:c>
      <x:c r="N17" s="8" t="n">
        <x:v>0.9923504297353398</x:v>
      </x:c>
    </x:row>
    <x:row r="18" ht="23" customHeight="1">
      <x:c r="A18" s="9" t="str">
        <x:v>Q2T009</x:v>
      </x:c>
      <x:c r="B18" s="3" t="str">
        <x:v>O01</x:v>
      </x:c>
      <x:c r="C18" s="3" t="str">
        <x:v>S001</x:v>
      </x:c>
      <x:c r="D18" s="3" t="n">
        <x:v>70</x:v>
      </x:c>
      <x:c r="E18" s="3" t="n">
        <x:v>0.171</x:v>
      </x:c>
      <x:c r="F18" s="3" t="n">
        <x:v>3063.4113262888936</x:v>
      </x:c>
      <x:c r="G18" s="3" t="n">
        <x:v>223.05661010742188</x:v>
      </x:c>
      <x:c r="H18" s="3" t="n">
        <x:v>273.0566101074219</x:v>
      </x:c>
      <x:c r="I18" s="3" t="n">
        <x:v>145.3566101074219</x:v>
      </x:c>
      <x:c r="J18" s="3" t="n">
        <x:v>89.05661010742188</x:v>
      </x:c>
      <x:c r="K18" s="3" t="n">
        <x:v>1975.4267416985454</x:v>
      </x:c>
      <x:c r="L18" s="3" t="n">
        <x:v>2282.325112547818</x:v>
      </x:c>
      <x:c r="M18" s="3" t="n">
        <x:v>306.8983708492726</x:v>
      </x:c>
      <x:c r="N18" s="3" t="n">
        <x:v>1.7623359856096446</x:v>
      </x:c>
    </x:row>
    <x:row r="19" ht="23" customHeight="1">
      <x:c r="A19" s="10" t="str">
        <x:v>Q2T009</x:v>
      </x:c>
      <x:c r="B19" s="8" t="str">
        <x:v>S001</x:v>
      </x:c>
      <x:c r="C19" s="8" t="str">
        <x:v>S002</x:v>
      </x:c>
      <x:c r="D19" s="8" t="n">
        <x:v>56</x:v>
      </x:c>
      <x:c r="E19" s="8" t="n">
        <x:v>0.14400000000000002</x:v>
      </x:c>
      <x:c r="F19" s="8" t="n">
        <x:v>4375.117473108587</x:v>
      </x:c>
      <x:c r="G19" s="8" t="n">
        <x:v>259.2448425292969</x:v>
      </x:c>
      <x:c r="H19" s="8" t="n">
        <x:v>309.2448425292969</x:v>
      </x:c>
      <x:c r="I19" s="8" t="n">
        <x:v>125.24484252929688</x:v>
      </x:c>
      <x:c r="J19" s="8" t="n">
        <x:v>89.74484252929688</x:v>
      </x:c>
      <x:c r="K19" s="8" t="n">
        <x:v>2498.325112547818</x:v>
      </x:c>
      <x:c r="L19" s="8" t="n">
        <x:v>2884.9699690314246</x:v>
      </x:c>
      <x:c r="M19" s="8" t="n">
        <x:v>386.64485648360625</x:v>
      </x:c>
      <x:c r="N19" s="8" t="n">
        <x:v>2.0259428331964107</x:v>
      </x:c>
    </x:row>
    <x:row r="20" ht="23" customHeight="1">
      <x:c r="A20" s="9" t="str">
        <x:v>Q2T009</x:v>
      </x:c>
      <x:c r="B20" s="3" t="str">
        <x:v>S002</x:v>
      </x:c>
      <x:c r="C20" s="3" t="str">
        <x:v>O01</x:v>
      </x:c>
      <x:c r="D20" s="3" t="n">
        <x:v>0</x:v>
      </x:c>
      <x:c r="E20" s="3" t="n">
        <x:v>0</x:v>
      </x:c>
      <x:c r="F20" s="3" t="n">
        <x:v>7435.278518339014</x:v>
      </x:c>
      <x:c r="G20" s="3" t="n">
        <x:v>258.9542541503906</x:v>
      </x:c>
      <x:c r="H20" s="3" t="n">
        <x:v>308.9542541503906</x:v>
      </x:c>
      <x:c r="I20" s="3" t="n">
        <x:v>89.45425415039062</x:v>
      </x:c>
      <x:c r="J20" s="3" t="n">
        <x:v>181.25425415039064</x:v>
      </x:c>
      <x:c r="K20" s="3" t="n">
        <x:v>3244.9699690314246</x:v>
      </x:c>
      <x:c r="L20" s="3" t="n">
        <x:v>3867.0640323227103</x:v>
      </x:c>
      <x:c r="M20" s="3" t="n">
        <x:v>622.0940632912858</x:v>
      </x:c>
      <x:c r="N20" s="3" t="n">
        <x:v>2.311443314941289</x:v>
      </x:c>
    </x:row>
    <x:row r="21" ht="23" customHeight="1">
      <x:c r="A21" s="10" t="str">
        <x:v>Q2T010</x:v>
      </x:c>
      <x:c r="B21" s="8" t="str">
        <x:v>O01</x:v>
      </x:c>
      <x:c r="C21" s="8" t="str">
        <x:v>S014</x:v>
      </x:c>
      <x:c r="D21" s="8" t="n">
        <x:v>25</x:v>
      </x:c>
      <x:c r="E21" s="8" t="n">
        <x:v>0.067</x:v>
      </x:c>
      <x:c r="F21" s="8" t="n">
        <x:v>5410.917094369381</x:v>
      </x:c>
      <x:c r="G21" s="8" t="n">
        <x:v>541.9473876953125</x:v>
      </x:c>
      <x:c r="H21" s="8" t="n">
        <x:v>591.9473876953125</x:v>
      </x:c>
      <x:c r="I21" s="8" t="n">
        <x:v>464.2473876953125</x:v>
      </x:c>
      <x:c r="J21" s="8" t="n">
        <x:v>240.9473876953125</x:v>
      </x:c>
      <x:c r="K21" s="8" t="n">
        <x:v>1900.400941459339</x:v>
      </x:c>
      <x:c r="L21" s="8" t="n">
        <x:v>2512.256832060527</x:v>
      </x:c>
      <x:c r="M21" s="8" t="n">
        <x:v>611.8558906011879</x:v>
      </x:c>
      <x:c r="N21" s="8" t="n">
        <x:v>1.3050440730861401</x:v>
      </x:c>
    </x:row>
    <x:row r="22" ht="23" customHeight="1">
      <x:c r="A22" s="9" t="str">
        <x:v>Q2T010</x:v>
      </x:c>
      <x:c r="B22" s="3" t="str">
        <x:v>S014</x:v>
      </x:c>
      <x:c r="C22" s="3" t="str">
        <x:v>O01</x:v>
      </x:c>
      <x:c r="D22" s="3" t="n">
        <x:v>0</x:v>
      </x:c>
      <x:c r="E22" s="3" t="n">
        <x:v>0</x:v>
      </x:c>
      <x:c r="F22" s="3" t="n">
        <x:v>5410.917094369381</x:v>
      </x:c>
      <x:c r="G22" s="3" t="n">
        <x:v>541.9473876953125</x:v>
      </x:c>
      <x:c r="H22" s="3" t="n">
        <x:v>591.9473876953125</x:v>
      </x:c>
      <x:c r="I22" s="3" t="n">
        <x:v>240.9473876953125</x:v>
      </x:c>
      <x:c r="J22" s="3" t="n">
        <x:v>464.2473876953125</x:v>
      </x:c>
      <x:c r="K22" s="3" t="n">
        <x:v>2752.256832060527</x:v>
      </x:c>
      <x:c r="L22" s="3" t="n">
        <x:v>3378.9993893283813</x:v>
      </x:c>
      <x:c r="M22" s="3" t="n">
        <x:v>626.7425572678545</x:v>
      </x:c>
      <x:c r="N22" s="3" t="n">
        <x:v>0.8322628869572777</x:v>
      </x:c>
    </x:row>
    <x:row r="23" ht="23" customHeight="1">
      <x:c r="A23" s="10" t="str">
        <x:v>Q2T011</x:v>
      </x:c>
      <x:c r="B23" s="8" t="str">
        <x:v>O01</x:v>
      </x:c>
      <x:c r="C23" s="8" t="str">
        <x:v>S001</x:v>
      </x:c>
      <x:c r="D23" s="8" t="n">
        <x:v>68</x:v>
      </x:c>
      <x:c r="E23" s="8" t="n">
        <x:v>0.203</x:v>
      </x:c>
      <x:c r="F23" s="8" t="n">
        <x:v>3063.4113262888936</x:v>
      </x:c>
      <x:c r="G23" s="8" t="n">
        <x:v>223.05661010742188</x:v>
      </x:c>
      <x:c r="H23" s="8" t="n">
        <x:v>273.0566101074219</x:v>
      </x:c>
      <x:c r="I23" s="8" t="n">
        <x:v>145.3566101074219</x:v>
      </x:c>
      <x:c r="J23" s="8" t="n">
        <x:v>89.05661010742188</x:v>
      </x:c>
      <x:c r="K23" s="8" t="n">
        <x:v>2100.863885273963</x:v>
      </x:c>
      <x:c r="L23" s="8" t="n">
        <x:v>2407.7622561232356</x:v>
      </x:c>
      <x:c r="M23" s="8" t="n">
        <x:v>306.8983708492726</x:v>
      </x:c>
      <x:c r="N23" s="8" t="n">
        <x:v>1.706558267780136</x:v>
      </x:c>
    </x:row>
    <x:row r="24" ht="23" customHeight="1">
      <x:c r="A24" s="9" t="str">
        <x:v>Q2T011</x:v>
      </x:c>
      <x:c r="B24" s="3" t="str">
        <x:v>S001</x:v>
      </x:c>
      <x:c r="C24" s="3" t="str">
        <x:v>O01</x:v>
      </x:c>
      <x:c r="D24" s="3" t="n">
        <x:v>0</x:v>
      </x:c>
      <x:c r="E24" s="3" t="n">
        <x:v>0</x:v>
      </x:c>
      <x:c r="F24" s="3" t="n">
        <x:v>3063.4113262888936</x:v>
      </x:c>
      <x:c r="G24" s="3" t="n">
        <x:v>223.05661010742188</x:v>
      </x:c>
      <x:c r="H24" s="3" t="n">
        <x:v>273.0566101074219</x:v>
      </x:c>
      <x:c r="I24" s="3" t="n">
        <x:v>89.05661010742188</x:v>
      </x:c>
      <x:c r="J24" s="3" t="n">
        <x:v>145.3566101074219</x:v>
      </x:c>
      <x:c r="K24" s="3" t="n">
        <x:v>2875.7622561232356</x:v>
      </x:c>
      <x:c r="L24" s="3" t="n">
        <x:v>3188.290626972508</x:v>
      </x:c>
      <x:c r="M24" s="3" t="n">
        <x:v>312.5283708492726</x:v>
      </x:c>
      <x:c r="N24" s="3" t="n">
        <x:v>0.9661482121351055</x:v>
      </x:c>
    </x:row>
    <x:row r="25" ht="23" customHeight="1">
      <x:c r="A25" s="10" t="str">
        <x:v>Q2T012</x:v>
      </x:c>
      <x:c r="B25" s="8" t="str">
        <x:v>O01</x:v>
      </x:c>
      <x:c r="C25" s="8" t="str">
        <x:v>S002</x:v>
      </x:c>
      <x:c r="D25" s="8" t="n">
        <x:v>25</x:v>
      </x:c>
      <x:c r="E25" s="8" t="n">
        <x:v>0.067</x:v>
      </x:c>
      <x:c r="F25" s="8" t="n">
        <x:v>7435.278518339014</x:v>
      </x:c>
      <x:c r="G25" s="8" t="n">
        <x:v>258.9542541503906</x:v>
      </x:c>
      <x:c r="H25" s="8" t="n">
        <x:v>308.9542541503906</x:v>
      </x:c>
      <x:c r="I25" s="8" t="n">
        <x:v>181.25425415039064</x:v>
      </x:c>
      <x:c r="J25" s="8" t="n">
        <x:v>89.45425415039062</x:v>
      </x:c>
      <x:c r="K25" s="8" t="n">
        <x:v>2313.8014006521316</x:v>
      </x:c>
      <x:c r="L25" s="8" t="n">
        <x:v>2905.686421585019</x:v>
      </x:c>
      <x:c r="M25" s="8" t="n">
        <x:v>591.8850209328874</x:v>
      </x:c>
      <x:c r="N25" s="8" t="n">
        <x:v>1.6377376063083129</x:v>
      </x:c>
    </x:row>
    <x:row r="26" ht="23" customHeight="1">
      <x:c r="A26" s="9" t="str">
        <x:v>Q2T012</x:v>
      </x:c>
      <x:c r="B26" s="3" t="str">
        <x:v>S002</x:v>
      </x:c>
      <x:c r="C26" s="3" t="str">
        <x:v>O01</x:v>
      </x:c>
      <x:c r="D26" s="3" t="n">
        <x:v>0</x:v>
      </x:c>
      <x:c r="E26" s="3" t="n">
        <x:v>0</x:v>
      </x:c>
      <x:c r="F26" s="3" t="n">
        <x:v>7435.278518339014</x:v>
      </x:c>
      <x:c r="G26" s="3" t="n">
        <x:v>258.9542541503906</x:v>
      </x:c>
      <x:c r="H26" s="3" t="n">
        <x:v>308.9542541503906</x:v>
      </x:c>
      <x:c r="I26" s="3" t="n">
        <x:v>89.45425415039062</x:v>
      </x:c>
      <x:c r="J26" s="3" t="n">
        <x:v>181.25425415039064</x:v>
      </x:c>
      <x:c r="K26" s="3" t="n">
        <x:v>3145.686421585019</x:v>
      </x:c>
      <x:c r="L26" s="3" t="n">
        <x:v>3743.6914425179066</x:v>
      </x:c>
      <x:c r="M26" s="3" t="n">
        <x:v>598.0050209328875</x:v>
      </x:c>
      <x:c r="N26" s="3" t="n">
        <x:v>1.0841890132080965</x:v>
      </x:c>
    </x:row>
    <x:row r="27" ht="23" customHeight="1">
      <x:c r="A27" s="10" t="str">
        <x:v>Q2T013</x:v>
      </x:c>
      <x:c r="B27" s="8" t="str">
        <x:v>O01</x:v>
      </x:c>
      <x:c r="C27" s="8" t="str">
        <x:v>S004</x:v>
      </x:c>
      <x:c r="D27" s="8" t="n">
        <x:v>59</x:v>
      </x:c>
      <x:c r="E27" s="8" t="n">
        <x:v>0.156</x:v>
      </x:c>
      <x:c r="F27" s="8" t="n">
        <x:v>7745.662441501828</x:v>
      </x:c>
      <x:c r="G27" s="8" t="n">
        <x:v>348.2391662597656</x:v>
      </x:c>
      <x:c r="H27" s="8" t="n">
        <x:v>398.2391662597656</x:v>
      </x:c>
      <x:c r="I27" s="8" t="n">
        <x:v>270.53916625976564</x:v>
      </x:c>
      <x:c r="J27" s="8" t="n">
        <x:v>169.9391662597656</x:v>
      </x:c>
      <x:c r="K27" s="8" t="n">
        <x:v>3668.290626972508</x:v>
      </x:c>
      <x:c r="L27" s="8" t="n">
        <x:v>4377.853372706419</x:v>
      </x:c>
      <x:c r="M27" s="8" t="n">
        <x:v>709.562745733911</x:v>
      </x:c>
      <x:c r="N27" s="8" t="n">
        <x:v>3.748680518186259</x:v>
      </x:c>
    </x:row>
    <x:row r="28" ht="23" customHeight="1">
      <x:c r="A28" s="9" t="str">
        <x:v>Q2T013</x:v>
      </x:c>
      <x:c r="B28" s="3" t="str">
        <x:v>S004</x:v>
      </x:c>
      <x:c r="C28" s="3" t="str">
        <x:v>O01</x:v>
      </x:c>
      <x:c r="D28" s="3" t="n">
        <x:v>0</x:v>
      </x:c>
      <x:c r="E28" s="3" t="n">
        <x:v>0</x:v>
      </x:c>
      <x:c r="F28" s="3" t="n">
        <x:v>7745.662441501828</x:v>
      </x:c>
      <x:c r="G28" s="3" t="n">
        <x:v>348.2391662597656</x:v>
      </x:c>
      <x:c r="H28" s="3" t="n">
        <x:v>398.2391662597656</x:v>
      </x:c>
      <x:c r="I28" s="3" t="n">
        <x:v>169.9391662597656</x:v>
      </x:c>
      <x:c r="J28" s="3" t="n">
        <x:v>270.53916625976564</x:v>
      </x:c>
      <x:c r="K28" s="3" t="n">
        <x:v>4773.853372706419</x:v>
      </x:c>
      <x:c r="L28" s="3" t="n">
        <x:v>5493.47611844033</x:v>
      </x:c>
      <x:c r="M28" s="3" t="n">
        <x:v>719.622745733911</x:v>
      </x:c>
      <x:c r="N28" s="3" t="n">
        <x:v>2.428238511705282</x:v>
      </x:c>
    </x:row>
    <x:row r="29" ht="23" customHeight="1">
      <x:c r="A29" s="10" t="str">
        <x:v>Q2T014</x:v>
      </x:c>
      <x:c r="B29" s="8" t="str">
        <x:v>O01</x:v>
      </x:c>
      <x:c r="C29" s="8" t="str">
        <x:v>S015</x:v>
      </x:c>
      <x:c r="D29" s="8" t="n">
        <x:v>25</x:v>
      </x:c>
      <x:c r="E29" s="8" t="n">
        <x:v>0.067</x:v>
      </x:c>
      <x:c r="F29" s="8" t="n">
        <x:v>6019.113948538092</x:v>
      </x:c>
      <x:c r="G29" s="8" t="n">
        <x:v>521.7992553710938</x:v>
      </x:c>
      <x:c r="H29" s="8" t="n">
        <x:v>571.7992553710938</x:v>
      </x:c>
      <x:c r="I29" s="8" t="n">
        <x:v>444.09925537109376</x:v>
      </x:c>
      <x:c r="J29" s="8" t="n">
        <x:v>97.29925537109375</x:v>
      </x:c>
      <x:c r="K29" s="8" t="n">
        <x:v>3768.9993893283818</x:v>
      </x:c>
      <x:c r="L29" s="8" t="n">
        <x:v>4357.2264398363895</x:v>
      </x:c>
      <x:c r="M29" s="8" t="n">
        <x:v>588.2270505080082</x:v>
      </x:c>
      <x:c r="N29" s="8" t="n">
        <x:v>1.42709584923683</x:v>
      </x:c>
    </x:row>
    <x:row r="30" ht="23" customHeight="1">
      <x:c r="A30" s="9" t="str">
        <x:v>Q2T014</x:v>
      </x:c>
      <x:c r="B30" s="3" t="str">
        <x:v>S015</x:v>
      </x:c>
      <x:c r="C30" s="3" t="str">
        <x:v>O01</x:v>
      </x:c>
      <x:c r="D30" s="3" t="n">
        <x:v>0</x:v>
      </x:c>
      <x:c r="E30" s="3" t="n">
        <x:v>0</x:v>
      </x:c>
      <x:c r="F30" s="3" t="n">
        <x:v>6019.113948538092</x:v>
      </x:c>
      <x:c r="G30" s="3" t="n">
        <x:v>521.7992553710938</x:v>
      </x:c>
      <x:c r="H30" s="3" t="n">
        <x:v>571.7992553710938</x:v>
      </x:c>
      <x:c r="I30" s="3" t="n">
        <x:v>97.29925537109375</x:v>
      </x:c>
      <x:c r="J30" s="3" t="n">
        <x:v>444.09925537109376</x:v>
      </x:c>
      <x:c r="K30" s="3" t="n">
        <x:v>4597.2264398363895</x:v>
      </x:c>
      <x:c r="L30" s="3" t="n">
        <x:v>5208.573490344398</x:v>
      </x:c>
      <x:c r="M30" s="3" t="n">
        <x:v>611.3470505080082</x:v>
      </x:c>
      <x:c r="N30" s="3" t="n">
        <x:v>0.8838097137302899</x:v>
      </x:c>
    </x:row>
    <x:row r="31" ht="23" customHeight="1">
      <x:c r="A31" s="10" t="str">
        <x:v>Q2T015</x:v>
      </x:c>
      <x:c r="B31" s="8" t="str">
        <x:v>O01</x:v>
      </x:c>
      <x:c r="C31" s="8" t="str">
        <x:v>S011</x:v>
      </x:c>
      <x:c r="D31" s="8" t="n">
        <x:v>25</x:v>
      </x:c>
      <x:c r="E31" s="8" t="n">
        <x:v>0.067</x:v>
      </x:c>
      <x:c r="F31" s="8" t="n">
        <x:v>2817.1517251515784</x:v>
      </x:c>
      <x:c r="G31" s="8" t="n">
        <x:v>245.36175537109375</x:v>
      </x:c>
      <x:c r="H31" s="8" t="n">
        <x:v>295.36175537109375</x:v>
      </x:c>
      <x:c r="I31" s="8" t="n">
        <x:v>167.66175537109376</x:v>
      </x:c>
      <x:c r="J31" s="8" t="n">
        <x:v>83.26175537109376</x:v>
      </x:c>
      <x:c r="K31" s="8" t="n">
        <x:v>4174.404493429911</x:v>
      </x:c>
      <x:c r="L31" s="8" t="n">
        <x:v>4451.406562378818</x:v>
      </x:c>
      <x:c r="M31" s="8" t="n">
        <x:v>277.0020689489073</x:v>
      </x:c>
      <x:c r="N31" s="8" t="n">
        <x:v>0.6542394187282041</x:v>
      </x:c>
    </x:row>
    <x:row r="32" ht="23" customHeight="1">
      <x:c r="A32" s="9" t="str">
        <x:v>Q2T015</x:v>
      </x:c>
      <x:c r="B32" s="3" t="str">
        <x:v>S011</x:v>
      </x:c>
      <x:c r="C32" s="3" t="str">
        <x:v>O01</x:v>
      </x:c>
      <x:c r="D32" s="3" t="n">
        <x:v>0</x:v>
      </x:c>
      <x:c r="E32" s="3" t="n">
        <x:v>0</x:v>
      </x:c>
      <x:c r="F32" s="3" t="n">
        <x:v>2817.1517251515784</x:v>
      </x:c>
      <x:c r="G32" s="3" t="n">
        <x:v>245.36175537109375</x:v>
      </x:c>
      <x:c r="H32" s="3" t="n">
        <x:v>295.36175537109375</x:v>
      </x:c>
      <x:c r="I32" s="3" t="n">
        <x:v>83.26175537109376</x:v>
      </x:c>
      <x:c r="J32" s="3" t="n">
        <x:v>167.66175537109376</x:v>
      </x:c>
      <x:c r="K32" s="3" t="n">
        <x:v>4691.406562378818</x:v>
      </x:c>
      <x:c r="L32" s="3" t="n">
        <x:v>4974.035297994393</x:v>
      </x:c>
      <x:c r="M32" s="3" t="n">
        <x:v>282.628735615574</x:v>
      </x:c>
      <x:c r="N32" s="3" t="n">
        <x:v>0.4229332164781491</x:v>
      </x:c>
    </x:row>
    <x:row r="33" ht="23" customHeight="1">
      <x:c r="A33" s="10" t="str">
        <x:v>Q2T016</x:v>
      </x:c>
      <x:c r="B33" s="8" t="str">
        <x:v>O01</x:v>
      </x:c>
      <x:c r="C33" s="8" t="str">
        <x:v>S003</x:v>
      </x:c>
      <x:c r="D33" s="8" t="n">
        <x:v>67</x:v>
      </x:c>
      <x:c r="E33" s="8" t="n">
        <x:v>0.184</x:v>
      </x:c>
      <x:c r="F33" s="8" t="n">
        <x:v>7261.075570364734</x:v>
      </x:c>
      <x:c r="G33" s="8" t="n">
        <x:v>511.80413818359375</x:v>
      </x:c>
      <x:c r="H33" s="8" t="n">
        <x:v>561.8041381835938</x:v>
      </x:c>
      <x:c r="I33" s="8" t="n">
        <x:v>434.10413818359376</x:v>
      </x:c>
      <x:c r="J33" s="8" t="n">
        <x:v>223.30413818359375</x:v>
      </x:c>
      <x:c r="K33" s="8" t="n">
        <x:v>4377.06403232271</x:v>
      </x:c>
      <x:c r="L33" s="8" t="n">
        <x:v>5146.429461378926</x:v>
      </x:c>
      <x:c r="M33" s="8" t="n">
        <x:v>769.3654290562166</x:v>
      </x:c>
      <x:c r="N33" s="8" t="n">
        <x:v>4.029055636774576</x:v>
      </x:c>
    </x:row>
    <x:row r="34" ht="23" customHeight="1">
      <x:c r="A34" s="9" t="str">
        <x:v>Q2T016</x:v>
      </x:c>
      <x:c r="B34" s="3" t="str">
        <x:v>S003</x:v>
      </x:c>
      <x:c r="C34" s="3" t="str">
        <x:v>O01</x:v>
      </x:c>
      <x:c r="D34" s="3" t="n">
        <x:v>0</x:v>
      </x:c>
      <x:c r="E34" s="3" t="n">
        <x:v>0</x:v>
      </x:c>
      <x:c r="F34" s="3" t="n">
        <x:v>7261.075570364734</x:v>
      </x:c>
      <x:c r="G34" s="3" t="n">
        <x:v>511.80413818359375</x:v>
      </x:c>
      <x:c r="H34" s="3" t="n">
        <x:v>561.8041381835938</x:v>
      </x:c>
      <x:c r="I34" s="3" t="n">
        <x:v>223.30413818359375</x:v>
      </x:c>
      <x:c r="J34" s="3" t="n">
        <x:v>434.10413818359376</x:v>
      </x:c>
      <x:c r="K34" s="3" t="n">
        <x:v>5578.429461378926</x:v>
      </x:c>
      <x:c r="L34" s="3" t="n">
        <x:v>6368.874890435142</x:v>
      </x:c>
      <x:c r="M34" s="3" t="n">
        <x:v>790.4454290562165</x:v>
      </x:c>
      <x:c r="N34" s="3" t="n">
        <x:v>2.2932526735471885</x:v>
      </x:c>
    </x:row>
    <x:row r="35" ht="23" customHeight="1">
      <x:c r="A35" s="10" t="str">
        <x:v>Q2T017</x:v>
      </x:c>
      <x:c r="B35" s="8" t="str">
        <x:v>O01</x:v>
      </x:c>
      <x:c r="C35" s="8" t="str">
        <x:v>S007</x:v>
      </x:c>
      <x:c r="D35" s="8" t="n">
        <x:v>20</x:v>
      </x:c>
      <x:c r="E35" s="8" t="n">
        <x:v>0.062</x:v>
      </x:c>
      <x:c r="F35" s="8" t="n">
        <x:v>4533.827897987505</x:v>
      </x:c>
      <x:c r="G35" s="8" t="n">
        <x:v>461.9731750488281</x:v>
      </x:c>
      <x:c r="H35" s="8" t="n">
        <x:v>511.9731750488281</x:v>
      </x:c>
      <x:c r="I35" s="8" t="n">
        <x:v>384.27317504882814</x:v>
      </x:c>
      <x:c r="J35" s="8" t="n">
        <x:v>163.47317504882812</x:v>
      </x:c>
      <x:c r="K35" s="8" t="n">
        <x:v>5334.035297994393</x:v>
      </x:c>
      <x:c r="L35" s="8" t="n">
        <x:v>5829.7708195627</x:v>
      </x:c>
      <x:c r="M35" s="8" t="n">
        <x:v>495.73552156830755</x:v>
      </x:c>
      <x:c r="N35" s="8" t="n">
        <x:v>0.9683803200329067</x:v>
      </x:c>
    </x:row>
    <x:row r="36" ht="23" customHeight="1">
      <x:c r="A36" s="9" t="str">
        <x:v>Q2T017</x:v>
      </x:c>
      <x:c r="B36" s="3" t="str">
        <x:v>S007</x:v>
      </x:c>
      <x:c r="C36" s="3" t="str">
        <x:v>S003</x:v>
      </x:c>
      <x:c r="D36" s="3" t="n">
        <x:v>14</x:v>
      </x:c>
      <x:c r="E36" s="3" t="n">
        <x:v>0.027</x:v>
      </x:c>
      <x:c r="F36" s="3" t="n">
        <x:v>2732.8231547260502</x:v>
      </x:c>
      <x:c r="G36" s="3" t="n">
        <x:v>360.6993408203125</x:v>
      </x:c>
      <x:c r="H36" s="3" t="n">
        <x:v>410.6993408203125</x:v>
      </x:c>
      <x:c r="I36" s="3" t="n">
        <x:v>62.1993408203125</x:v>
      </x:c>
      <x:c r="J36" s="3" t="n">
        <x:v>72.1993408203125</x:v>
      </x:c>
      <x:c r="K36" s="3" t="n">
        <x:v>6009.7708195627</x:v>
      </x:c>
      <x:c r="L36" s="3" t="n">
        <x:v>6241.571879812666</x:v>
      </x:c>
      <x:c r="M36" s="3" t="n">
        <x:v>231.80106024996587</x:v>
      </x:c>
      <x:c r="N36" s="3" t="n">
        <x:v>0.4707804802103717</x:v>
      </x:c>
    </x:row>
    <x:row r="37" ht="23" customHeight="1">
      <x:c r="A37" s="10" t="str">
        <x:v>Q2T017</x:v>
      </x:c>
      <x:c r="B37" s="8" t="str">
        <x:v>S003</x:v>
      </x:c>
      <x:c r="C37" s="8" t="str">
        <x:v>O01</x:v>
      </x:c>
      <x:c r="D37" s="8" t="n">
        <x:v>0</x:v>
      </x:c>
      <x:c r="E37" s="8" t="n">
        <x:v>0</x:v>
      </x:c>
      <x:c r="F37" s="8" t="n">
        <x:v>7261.075570364734</x:v>
      </x:c>
      <x:c r="G37" s="8" t="n">
        <x:v>511.80413818359375</x:v>
      </x:c>
      <x:c r="H37" s="8" t="n">
        <x:v>561.8041381835938</x:v>
      </x:c>
      <x:c r="I37" s="8" t="n">
        <x:v>223.30413818359375</x:v>
      </x:c>
      <x:c r="J37" s="8" t="n">
        <x:v>434.10413818359376</x:v>
      </x:c>
      <x:c r="K37" s="8" t="n">
        <x:v>6421.571879812666</x:v>
      </x:c>
      <x:c r="L37" s="8" t="n">
        <x:v>7153.719952504951</x:v>
      </x:c>
      <x:c r="M37" s="8" t="n">
        <x:v>732.1480726922844</x:v>
      </x:c>
      <x:c r="N37" s="8" t="n">
        <x:v>1.0922308787684507</x:v>
      </x:c>
    </x:row>
    <x:row r="38" ht="23" customHeight="1">
      <x:c r="A38" s="9" t="str">
        <x:v>Q2T018</x:v>
      </x:c>
      <x:c r="B38" s="3" t="str">
        <x:v>O01</x:v>
      </x:c>
      <x:c r="C38" s="3" t="str">
        <x:v>S008</x:v>
      </x:c>
      <x:c r="D38" s="3" t="n">
        <x:v>45</x:v>
      </x:c>
      <x:c r="E38" s="3" t="n">
        <x:v>0.129</x:v>
      </x:c>
      <x:c r="F38" s="3" t="n">
        <x:v>8109.473184928188</x:v>
      </x:c>
      <x:c r="G38" s="3" t="n">
        <x:v>322.9093322753906</x:v>
      </x:c>
      <x:c r="H38" s="3" t="n">
        <x:v>372.9093322753906</x:v>
      </x:c>
      <x:c r="I38" s="3" t="n">
        <x:v>245.20933227539064</x:v>
      </x:c>
      <x:c r="J38" s="3" t="n">
        <x:v>102.00933227539065</x:v>
      </x:c>
      <x:c r="K38" s="3" t="n">
        <x:v>5943.4761184403305</x:v>
      </x:c>
      <x:c r="L38" s="3" t="n">
        <x:v>6633.1960631500615</x:v>
      </x:c>
      <x:c r="M38" s="3" t="n">
        <x:v>689.7199447097307</x:v>
      </x:c>
      <x:c r="N38" s="3" t="n">
        <x:v>3.335287807984369</x:v>
      </x:c>
    </x:row>
    <x:row r="39" ht="23" customHeight="1">
      <x:c r="A39" s="10" t="str">
        <x:v>Q2T018</x:v>
      </x:c>
      <x:c r="B39" s="8" t="str">
        <x:v>S008</x:v>
      </x:c>
      <x:c r="C39" s="8" t="str">
        <x:v>O01</x:v>
      </x:c>
      <x:c r="D39" s="8" t="n">
        <x:v>0</x:v>
      </x:c>
      <x:c r="E39" s="8" t="n">
        <x:v>0</x:v>
      </x:c>
      <x:c r="F39" s="8" t="n">
        <x:v>8109.473184928188</x:v>
      </x:c>
      <x:c r="G39" s="8" t="n">
        <x:v>322.9093322753906</x:v>
      </x:c>
      <x:c r="H39" s="8" t="n">
        <x:v>372.9093322753906</x:v>
      </x:c>
      <x:c r="I39" s="8" t="n">
        <x:v>102.00933227539065</x:v>
      </x:c>
      <x:c r="J39" s="8" t="n">
        <x:v>245.20933227539064</x:v>
      </x:c>
      <x:c r="K39" s="8" t="n">
        <x:v>6993.1960631500615</x:v>
      </x:c>
      <x:c r="L39" s="8" t="n">
        <x:v>7697.236007859792</x:v>
      </x:c>
      <x:c r="M39" s="8" t="n">
        <x:v>704.0399447097307</x:v>
      </x:c>
      <x:c r="N39" s="8" t="n">
        <x:v>2.5222092998123395</x:v>
      </x:c>
    </x:row>
    <x:row r="40" ht="23" customHeight="1">
      <x:c r="A40" s="9" t="str">
        <x:v>Q2T019</x:v>
      </x:c>
      <x:c r="B40" s="3" t="str">
        <x:v>O01</x:v>
      </x:c>
      <x:c r="C40" s="3" t="str">
        <x:v>S009</x:v>
      </x:c>
      <x:c r="D40" s="3" t="n">
        <x:v>25</x:v>
      </x:c>
      <x:c r="E40" s="3" t="n">
        <x:v>0.067</x:v>
      </x:c>
      <x:c r="F40" s="3" t="n">
        <x:v>5722.680393214659</x:v>
      </x:c>
      <x:c r="G40" s="3" t="n">
        <x:v>243.22891235351562</x:v>
      </x:c>
      <x:c r="H40" s="3" t="n">
        <x:v>293.2289123535156</x:v>
      </x:c>
      <x:c r="I40" s="3" t="n">
        <x:v>165.52891235351564</x:v>
      </x:c>
      <x:c r="J40" s="3" t="n">
        <x:v>63.228912353515625</x:v>
      </x:c>
      <x:c r="K40" s="3" t="n">
        <x:v>5979.859644308351</x:v>
      </x:c>
      <x:c r="L40" s="3" t="n">
        <x:v>6441.839539581906</x:v>
      </x:c>
      <x:c r="M40" s="3" t="n">
        <x:v>461.97989527355537</x:v>
      </x:c>
      <x:c r="N40" s="3" t="n">
        <x:v>1.269375122245852</x:v>
      </x:c>
    </x:row>
    <x:row r="41" ht="23" customHeight="1">
      <x:c r="A41" s="10" t="str">
        <x:v>Q2T019</x:v>
      </x:c>
      <x:c r="B41" s="8" t="str">
        <x:v>S009</x:v>
      </x:c>
      <x:c r="C41" s="8" t="str">
        <x:v>O01</x:v>
      </x:c>
      <x:c r="D41" s="8" t="n">
        <x:v>0</x:v>
      </x:c>
      <x:c r="E41" s="8" t="n">
        <x:v>0</x:v>
      </x:c>
      <x:c r="F41" s="8" t="n">
        <x:v>5722.680393214659</x:v>
      </x:c>
      <x:c r="G41" s="8" t="n">
        <x:v>243.22891235351562</x:v>
      </x:c>
      <x:c r="H41" s="8" t="n">
        <x:v>293.2289123535156</x:v>
      </x:c>
      <x:c r="I41" s="8" t="n">
        <x:v>63.228912353515625</x:v>
      </x:c>
      <x:c r="J41" s="8" t="n">
        <x:v>165.52891235351564</x:v>
      </x:c>
      <x:c r="K41" s="8" t="n">
        <x:v>6681.839539581906</x:v>
      </x:c>
      <x:c r="L41" s="8" t="n">
        <x:v>7150.639434855461</x:v>
      </x:c>
      <x:c r="M41" s="8" t="n">
        <x:v>468.7998952735554</x:v>
      </x:c>
      <x:c r="N41" s="8" t="n">
        <x:v>0.8330805219878709</x:v>
      </x:c>
    </x:row>
    <x:row r="42" ht="23" customHeight="1">
      <x:c r="A42" s="9" t="str">
        <x:v>Q2T020</x:v>
      </x:c>
      <x:c r="B42" s="3" t="str">
        <x:v>O01</x:v>
      </x:c>
      <x:c r="C42" s="3" t="str">
        <x:v>S005</x:v>
      </x:c>
      <x:c r="D42" s="3" t="n">
        <x:v>59</x:v>
      </x:c>
      <x:c r="E42" s="3" t="n">
        <x:v>0.156</x:v>
      </x:c>
      <x:c r="F42" s="3" t="n">
        <x:v>5302.020131150288</x:v>
      </x:c>
      <x:c r="G42" s="3" t="n">
        <x:v>276.410888671875</x:v>
      </x:c>
      <x:c r="H42" s="3" t="n">
        <x:v>326.410888671875</x:v>
      </x:c>
      <x:c r="I42" s="3" t="n">
        <x:v>198.710888671875</x:v>
      </x:c>
      <x:c r="J42" s="3" t="n">
        <x:v>131.410888671875</x:v>
      </x:c>
      <x:c r="K42" s="3" t="n">
        <x:v>6848.874890435143</x:v>
      </x:c>
      <x:c r="L42" s="3" t="n">
        <x:v>7347.532698983183</x:v>
      </x:c>
      <x:c r="M42" s="3" t="n">
        <x:v>498.65780854804007</x:v>
      </x:c>
      <x:c r="N42" s="3" t="n">
        <x:v>2.5726242067390874</x:v>
      </x:c>
    </x:row>
    <x:row r="43" ht="23" customHeight="1">
      <x:c r="A43" s="10" t="str">
        <x:v>Q2T020</x:v>
      </x:c>
      <x:c r="B43" s="8" t="str">
        <x:v>S005</x:v>
      </x:c>
      <x:c r="C43" s="8" t="str">
        <x:v>O01</x:v>
      </x:c>
      <x:c r="D43" s="8" t="n">
        <x:v>0</x:v>
      </x:c>
      <x:c r="E43" s="8" t="n">
        <x:v>0</x:v>
      </x:c>
      <x:c r="F43" s="8" t="n">
        <x:v>5302.020131150288</x:v>
      </x:c>
      <x:c r="G43" s="8" t="n">
        <x:v>276.410888671875</x:v>
      </x:c>
      <x:c r="H43" s="8" t="n">
        <x:v>326.410888671875</x:v>
      </x:c>
      <x:c r="I43" s="8" t="n">
        <x:v>131.410888671875</x:v>
      </x:c>
      <x:c r="J43" s="8" t="n">
        <x:v>198.710888671875</x:v>
      </x:c>
      <x:c r="K43" s="8" t="n">
        <x:v>7743.532698983183</x:v>
      </x:c>
      <x:c r="L43" s="8" t="n">
        <x:v>8248.920507531224</x:v>
      </x:c>
      <x:c r="M43" s="8" t="n">
        <x:v>505.3878085480401</x:v>
      </x:c>
      <x:c r="N43" s="8" t="n">
        <x:v>1.6661558339555333</x:v>
      </x:c>
    </x:row>
  </x:sheetData>
  <x:pageMargins left="0.7" right="0.7" top="0.75" bottom="0.75" header="0.3" footer="0.3"/>
  <x:tableParts count="1">
    <x:tablePart xmlns:r="http://schemas.openxmlformats.org/officeDocument/2006/relationships" r:id="R7d9f86c70df04aa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6" hidden="0" customWidth="1"/>
    <x:col min="3" max="3" width="16" hidden="0" customWidth="1"/>
    <x:col min="4" max="4" width="16" hidden="0" customWidth="1"/>
    <x:col min="5" max="5" width="100" hidden="0" customWidth="1"/>
  </x:cols>
  <x:sheetData>
    <x:row r="1" ht="40" customHeight="1">
      <x:c r="A1" s="7" t="str">
        <x:v>架次</x:v>
      </x:c>
      <x:c r="B1" s="7" t="str">
        <x:v>服务区</x:v>
      </x:c>
      <x:c r="C1" s="7" t="str">
        <x:v>到达（s）</x:v>
      </x:c>
      <x:c r="D1" s="7" t="str">
        <x:v>交接完成（s）</x:v>
      </x:c>
      <x:c r="E1" s="7" t="str">
        <x:v>交付货箱</x:v>
      </x:c>
    </x:row>
    <x:row r="2" ht="40" customHeight="1">
      <x:c r="A2" s="9" t="str">
        <x:v>Q2T001</x:v>
      </x:c>
      <x:c r="B2" s="3" t="str">
        <x:v>S007</x:v>
      </x:c>
      <x:c r="C2" s="3" t="n">
        <x:v>931.2993198680994</x:v>
      </x:c>
      <x:c r="D2" s="3" t="n">
        <x:v>1141.2993198680992</x:v>
      </x:c>
      <x:c r="E2" s="20" t="str">
        <x:v>S007-FOD-01;S007-WAT-02</x:v>
      </x:c>
    </x:row>
    <x:row r="3" ht="40" customHeight="1">
      <x:c r="A3" s="10" t="str">
        <x:v>Q2T002</x:v>
      </x:c>
      <x:c r="B3" s="8" t="str">
        <x:v>S010</x:v>
      </x:c>
      <x:c r="C3" s="8" t="n">
        <x:v>894.4634512744026</x:v>
      </x:c>
      <x:c r="D3" s="8" t="n">
        <x:v>1104.4634512744026</x:v>
      </x:c>
      <x:c r="E3" s="21" t="str">
        <x:v>S010-FOD-01;S010-MED-01</x:v>
      </x:c>
    </x:row>
    <x:row r="4" ht="40" customHeight="1">
      <x:c r="A4" s="9" t="str">
        <x:v>Q2T003</x:v>
      </x:c>
      <x:c r="B4" s="3" t="str">
        <x:v>S010</x:v>
      </x:c>
      <x:c r="C4" s="3" t="n">
        <x:v>864.4634512744026</x:v>
      </x:c>
      <x:c r="D4" s="3" t="n">
        <x:v>1044.4634512744026</x:v>
      </x:c>
      <x:c r="E4" s="20" t="str">
        <x:v>S010-WAT-01</x:v>
      </x:c>
    </x:row>
    <x:row r="5" ht="40" customHeight="1">
      <x:c r="A5" s="10" t="str">
        <x:v>Q2T004</x:v>
      </x:c>
      <x:c r="B5" s="8" t="str">
        <x:v>S007</x:v>
      </x:c>
      <x:c r="C5" s="8" t="n">
        <x:v>931.2993198680994</x:v>
      </x:c>
      <x:c r="D5" s="8" t="n">
        <x:v>1141.2993198680992</x:v>
      </x:c>
      <x:c r="E5" s="21" t="str">
        <x:v>S007-MED-01;S007-WAT-01</x:v>
      </x:c>
    </x:row>
    <x:row r="6" ht="40" customHeight="1">
      <x:c r="A6" s="9" t="str">
        <x:v>Q2T005</x:v>
      </x:c>
      <x:c r="B6" s="3" t="str">
        <x:v>S012</x:v>
      </x:c>
      <x:c r="C6" s="3" t="n">
        <x:v>1031.8307003260657</x:v>
      </x:c>
      <x:c r="D6" s="3" t="n">
        <x:v>1271.8307003260657</x:v>
      </x:c>
      <x:c r="E6" s="20" t="str">
        <x:v>S012-FOD-01;S012-MED-01;S012-WAT-01</x:v>
      </x:c>
    </x:row>
    <x:row r="7" ht="40" customHeight="1">
      <x:c r="A7" s="10" t="str">
        <x:v>Q2T006</x:v>
      </x:c>
      <x:c r="B7" s="8" t="str">
        <x:v>S013</x:v>
      </x:c>
      <x:c r="C7" s="8" t="n">
        <x:v>822.7338040630028</x:v>
      </x:c>
      <x:c r="D7" s="8" t="n">
        <x:v>1062.733804063003</x:v>
      </x:c>
      <x:c r="E7" s="21" t="str">
        <x:v>S013-FOD-01;S013-MED-01;S013-WAT-01</x:v>
      </x:c>
    </x:row>
    <x:row r="8" ht="40" customHeight="1">
      <x:c r="A8" s="9" t="str">
        <x:v>Q2T007</x:v>
      </x:c>
      <x:c r="B8" s="3" t="str">
        <x:v>S001</x:v>
      </x:c>
      <x:c r="C8" s="3" t="n">
        <x:v>786.8983708492726</x:v>
      </x:c>
      <x:c r="D8" s="3" t="n">
        <x:v>1182.8983708492726</x:v>
      </x:c>
      <x:c r="E8" s="20" t="str">
        <x:v>S001-FOD-01;S001-FOD-02;S001-WAT-02;S001-WAT-03;S001-WAT-04;S001-WAT-06</x:v>
      </x:c>
    </x:row>
    <x:row r="9" ht="40" customHeight="1">
      <x:c r="A9" s="10" t="str">
        <x:v>Q2T008</x:v>
      </x:c>
      <x:c r="B9" s="8" t="str">
        <x:v>S006</x:v>
      </x:c>
      <x:c r="C9" s="8" t="n">
        <x:v>813.0769426369815</x:v>
      </x:c>
      <x:c r="D9" s="8" t="n">
        <x:v>1209.0769426369816</x:v>
      </x:c>
      <x:c r="E9" s="21" t="str">
        <x:v>S006-FOD-01;S006-HYG-01;S006-MED-01;S006-WAT-01;S006-WAT-02;S006-WAT-03</x:v>
      </x:c>
    </x:row>
    <x:row r="10" ht="40" customHeight="1">
      <x:c r="A10" s="9" t="str">
        <x:v>Q2T009</x:v>
      </x:c>
      <x:c r="B10" s="3" t="str">
        <x:v>S001</x:v>
      </x:c>
      <x:c r="C10" s="3" t="n">
        <x:v>2282.325112547818</x:v>
      </x:c>
      <x:c r="D10" s="3" t="n">
        <x:v>2498.325112547818</x:v>
      </x:c>
      <x:c r="E10" s="20" t="str">
        <x:v>S001-WAT-07</x:v>
      </x:c>
    </x:row>
    <x:row r="11" ht="40" customHeight="1">
      <x:c r="A11" s="10" t="str">
        <x:v>Q2T009</x:v>
      </x:c>
      <x:c r="B11" s="8" t="str">
        <x:v>S002</x:v>
      </x:c>
      <x:c r="C11" s="8" t="n">
        <x:v>2884.9699690314246</x:v>
      </x:c>
      <x:c r="D11" s="8" t="n">
        <x:v>3244.9699690314246</x:v>
      </x:c>
      <x:c r="E11" s="21" t="str">
        <x:v>S002-FOD-02;S002-HYG-01;S002-WAT-01;S002-WAT-02;S002-WAT-03</x:v>
      </x:c>
    </x:row>
    <x:row r="12" ht="40" customHeight="1">
      <x:c r="A12" s="9" t="str">
        <x:v>Q2T010</x:v>
      </x:c>
      <x:c r="B12" s="3" t="str">
        <x:v>S014</x:v>
      </x:c>
      <x:c r="C12" s="3" t="n">
        <x:v>2512.256832060527</x:v>
      </x:c>
      <x:c r="D12" s="3" t="n">
        <x:v>2752.256832060527</x:v>
      </x:c>
      <x:c r="E12" s="20" t="str">
        <x:v>S014-FOD-01;S014-MED-01;S014-WAT-01</x:v>
      </x:c>
    </x:row>
    <x:row r="13" ht="40" customHeight="1">
      <x:c r="A13" s="10" t="str">
        <x:v>Q2T011</x:v>
      </x:c>
      <x:c r="B13" s="8" t="str">
        <x:v>S001</x:v>
      </x:c>
      <x:c r="C13" s="8" t="n">
        <x:v>2407.7622561232356</x:v>
      </x:c>
      <x:c r="D13" s="8" t="n">
        <x:v>2875.7622561232356</x:v>
      </x:c>
      <x:c r="E13" s="21" t="str">
        <x:v>S001-FOD-03;S001-HYG-01;S001-HYG-02;S001-MED-01;S001-MED-02;S001-WAT-01;S001-WAT-05;S001-WAT-08</x:v>
      </x:c>
    </x:row>
    <x:row r="14" ht="40" customHeight="1">
      <x:c r="A14" s="9" t="str">
        <x:v>Q2T012</x:v>
      </x:c>
      <x:c r="B14" s="3" t="str">
        <x:v>S002</x:v>
      </x:c>
      <x:c r="C14" s="3" t="n">
        <x:v>2905.686421585019</x:v>
      </x:c>
      <x:c r="D14" s="3" t="n">
        <x:v>3145.686421585019</x:v>
      </x:c>
      <x:c r="E14" s="20" t="str">
        <x:v>S002-FOD-01;S002-MED-01;S002-WAT-04</x:v>
      </x:c>
    </x:row>
    <x:row r="15" ht="40" customHeight="1">
      <x:c r="A15" s="10" t="str">
        <x:v>Q2T013</x:v>
      </x:c>
      <x:c r="B15" s="8" t="str">
        <x:v>S004</x:v>
      </x:c>
      <x:c r="C15" s="8" t="n">
        <x:v>4377.853372706419</x:v>
      </x:c>
      <x:c r="D15" s="8" t="n">
        <x:v>4773.853372706419</x:v>
      </x:c>
      <x:c r="E15" s="21" t="str">
        <x:v>S004-FOD-01;S004-HYG-01;S004-MED-01;S004-WAT-01;S004-WAT-02;S004-WAT-03</x:v>
      </x:c>
    </x:row>
    <x:row r="16" ht="40" customHeight="1">
      <x:c r="A16" s="9" t="str">
        <x:v>Q2T014</x:v>
      </x:c>
      <x:c r="B16" s="3" t="str">
        <x:v>S015</x:v>
      </x:c>
      <x:c r="C16" s="3" t="n">
        <x:v>4357.2264398363895</x:v>
      </x:c>
      <x:c r="D16" s="3" t="n">
        <x:v>4597.2264398363895</x:v>
      </x:c>
      <x:c r="E16" s="20" t="str">
        <x:v>S015-FOD-01;S015-MED-01;S015-WAT-01</x:v>
      </x:c>
    </x:row>
    <x:row r="17" ht="40" customHeight="1">
      <x:c r="A17" s="10" t="str">
        <x:v>Q2T015</x:v>
      </x:c>
      <x:c r="B17" s="8" t="str">
        <x:v>S011</x:v>
      </x:c>
      <x:c r="C17" s="8" t="n">
        <x:v>4451.406562378818</x:v>
      </x:c>
      <x:c r="D17" s="8" t="n">
        <x:v>4691.406562378818</x:v>
      </x:c>
      <x:c r="E17" s="21" t="str">
        <x:v>S011-FOD-01;S011-MED-01;S011-WAT-01</x:v>
      </x:c>
    </x:row>
    <x:row r="18" ht="40" customHeight="1">
      <x:c r="A18" s="9" t="str">
        <x:v>Q2T016</x:v>
      </x:c>
      <x:c r="B18" s="3" t="str">
        <x:v>S003</x:v>
      </x:c>
      <x:c r="C18" s="3" t="n">
        <x:v>5146.429461378926</x:v>
      </x:c>
      <x:c r="D18" s="3" t="n">
        <x:v>5578.429461378926</x:v>
      </x:c>
      <x:c r="E18" s="20" t="str">
        <x:v>S003-FOD-01;S003-FOD-02;S003-HYG-01;S003-MED-01;S003-WAT-01;S003-WAT-02;S003-WAT-03</x:v>
      </x:c>
    </x:row>
    <x:row r="19" ht="40" customHeight="1">
      <x:c r="A19" s="10" t="str">
        <x:v>Q2T017</x:v>
      </x:c>
      <x:c r="B19" s="8" t="str">
        <x:v>S007</x:v>
      </x:c>
      <x:c r="C19" s="8" t="n">
        <x:v>5829.7708195627</x:v>
      </x:c>
      <x:c r="D19" s="8" t="n">
        <x:v>6009.7708195627</x:v>
      </x:c>
      <x:c r="E19" s="21" t="str">
        <x:v>S007-HYG-01</x:v>
      </x:c>
    </x:row>
    <x:row r="20" ht="40" customHeight="1">
      <x:c r="A20" s="9" t="str">
        <x:v>Q2T017</x:v>
      </x:c>
      <x:c r="B20" s="3" t="str">
        <x:v>S003</x:v>
      </x:c>
      <x:c r="C20" s="3" t="n">
        <x:v>6241.571879812666</x:v>
      </x:c>
      <x:c r="D20" s="3" t="n">
        <x:v>6421.571879812666</x:v>
      </x:c>
      <x:c r="E20" s="20" t="str">
        <x:v>S003-WAT-04</x:v>
      </x:c>
    </x:row>
    <x:row r="21" ht="40" customHeight="1">
      <x:c r="A21" s="10" t="str">
        <x:v>Q2T018</x:v>
      </x:c>
      <x:c r="B21" s="8" t="str">
        <x:v>S008</x:v>
      </x:c>
      <x:c r="C21" s="8" t="n">
        <x:v>6633.1960631500615</x:v>
      </x:c>
      <x:c r="D21" s="8" t="n">
        <x:v>6993.1960631500615</x:v>
      </x:c>
      <x:c r="E21" s="21" t="str">
        <x:v>S008-FOD-01;S008-HYG-01;S008-MED-01;S008-WAT-01;S008-WAT-02</x:v>
      </x:c>
    </x:row>
    <x:row r="22" ht="40" customHeight="1">
      <x:c r="A22" s="9" t="str">
        <x:v>Q2T019</x:v>
      </x:c>
      <x:c r="B22" s="3" t="str">
        <x:v>S009</x:v>
      </x:c>
      <x:c r="C22" s="3" t="n">
        <x:v>6441.839539581906</x:v>
      </x:c>
      <x:c r="D22" s="3" t="n">
        <x:v>6681.839539581906</x:v>
      </x:c>
      <x:c r="E22" s="20" t="str">
        <x:v>S009-FOD-01;S009-MED-01;S009-WAT-01</x:v>
      </x:c>
    </x:row>
    <x:row r="23" ht="40" customHeight="1">
      <x:c r="A23" s="10" t="str">
        <x:v>Q2T020</x:v>
      </x:c>
      <x:c r="B23" s="8" t="str">
        <x:v>S005</x:v>
      </x:c>
      <x:c r="C23" s="8" t="n">
        <x:v>7347.532698983183</x:v>
      </x:c>
      <x:c r="D23" s="8" t="n">
        <x:v>7743.532698983183</x:v>
      </x:c>
      <x:c r="E23" s="21" t="str">
        <x:v>S005-FOD-01;S005-HYG-01;S005-MED-01;S005-WAT-01;S005-WAT-02;S005-WAT-03</x:v>
      </x:c>
    </x:row>
    <x:row r="24" ht="40" customHeight="1">
      <x:c r="E24" s="22"/>
    </x:row>
  </x:sheetData>
  <x:pageMargins left="0.7" right="0.7" top="0.75" bottom="0.75" header="0.3" footer="0.3"/>
  <x:tableParts count="1">
    <x:tablePart xmlns:r="http://schemas.openxmlformats.org/officeDocument/2006/relationships" r:id="R17f91aa859f548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6" customHeight="1">
      <x:c r="A1" s="34" t="str">
        <x:v>机型</x:v>
      </x:c>
      <x:c r="B1" s="34" t="str">
        <x:v>无人机峰值</x:v>
      </x:c>
      <x:c r="C1" s="34" t="str">
        <x:v>无人机库存</x:v>
      </x:c>
      <x:c r="D1" s="34" t="str">
        <x:v>电池占用峰值</x:v>
      </x:c>
      <x:c r="E1" s="34" t="str">
        <x:v>电池库存</x:v>
      </x:c>
    </x:row>
    <x:row r="2" ht="26" customHeight="1">
      <x:c r="A2" s="1" t="str">
        <x:v>A</x:v>
      </x:c>
      <x:c r="B2" s="1" t="n">
        <x:v>4</x:v>
      </x:c>
      <x:c r="C2" s="1" t="n">
        <x:v>4</x:v>
      </x:c>
      <x:c r="D2" s="1" t="n">
        <x:v>4</x:v>
      </x:c>
      <x:c r="E2" s="1" t="n">
        <x:v>6</x:v>
      </x:c>
    </x:row>
    <x:row r="3" ht="26" customHeight="1">
      <x:c r="A3" s="1" t="str">
        <x:v>B</x:v>
      </x:c>
      <x:c r="B3" s="1" t="n">
        <x:v>2</x:v>
      </x:c>
      <x:c r="C3" s="1" t="n">
        <x:v>2</x:v>
      </x:c>
      <x:c r="D3" s="1" t="n">
        <x:v>4</x:v>
      </x:c>
      <x:c r="E3" s="1" t="n">
        <x:v>4</x:v>
      </x:c>
    </x:row>
    <x:row r="4" ht="26" customHeight="1">
      <x:c r="A4" s="1" t="str">
        <x:v>C</x:v>
      </x:c>
      <x:c r="B4" s="1" t="n">
        <x:v>2</x:v>
      </x:c>
      <x:c r="C4" s="1" t="n">
        <x:v>2</x:v>
      </x:c>
      <x:c r="D4" s="1" t="n">
        <x:v>4</x:v>
      </x:c>
      <x:c r="E4" s="1" t="n">
        <x:v>4</x:v>
      </x:c>
    </x:row>
    <x:row r="7">
      <x:c r="A7" s="1" t="str">
        <x:v>复算项目</x:v>
      </x:c>
      <x:c r="B7" s="1" t="str">
        <x:v>结果</x:v>
      </x:c>
    </x:row>
    <x:row r="8">
      <x:c r="A8" s="1" t="str">
        <x:v>80箱恰好交付一次</x:v>
      </x:c>
      <x:c r="B8" s="16" t="b">
        <x:v>1</x:v>
      </x:c>
    </x:row>
    <x:row r="9">
      <x:c r="A9" s="1" t="str">
        <x:v>最小硬时限余量/s</x:v>
      </x:c>
      <x:c r="B9" s="28" t="n">
        <x:v>206.8039368499385</x:v>
      </x:c>
    </x:row>
    <x:row r="10">
      <x:c r="A10" s="1" t="str">
        <x:v>最小返航SOC</x:v>
      </x:c>
      <x:c r="B10" s="33" t="n">
        <x:v>0.20971146120977946</x:v>
      </x:c>
    </x:row>
    <x:row r="11">
      <x:c r="A11" s="1" t="str">
        <x:v>区间冲突数</x:v>
      </x:c>
      <x:c r="B11" s="1" t="n">
        <x:v>0</x:v>
      </x:c>
    </x:row>
    <x:row r="14">
      <x:c r="A14" s="1" t="str">
        <x:v>输入：节点、80箱、运输机型及共享电池附件和30米DEM。</x:v>
      </x:c>
      <x:c r="B14" s="1"/>
      <x:c r="C14" s="1"/>
      <x:c r="D14" s="1"/>
      <x:c r="E14" s="1"/>
    </x:row>
    <x:row r="15">
      <x:c r="A15" s="1" t="str">
        <x:v>电池峰值包含飞行任务与充电，半开区间采用微秒端点精度。</x:v>
      </x:c>
      <x:c r="B15" s="1"/>
      <x:c r="C15" s="1"/>
      <x:c r="D15" s="1"/>
      <x:c r="E15" s="1"/>
    </x:row>
    <x:row r="16">
      <x:c r="A16" s="1" t="str">
        <x:v>具体ID与逐航段独立复算详见同包 audit.json 和 verify_q2.py。</x:v>
      </x:c>
      <x:c r="B16" s="1"/>
      <x:c r="C16" s="1"/>
      <x:c r="D16" s="1"/>
      <x:c r="E16" s="1"/>
    </x:row>
  </x:sheetData>
  <x:pageMargins left="0.7" right="0.7" top="0.75" bottom="0.75" header="0.3" footer="0.3"/>
</x:worksheet>
</file>